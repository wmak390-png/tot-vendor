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 Overview" sheetId="1" r:id="rId5"/>
    <sheet state="visible" name="UI-UX Design" sheetId="2" r:id="rId6"/>
    <sheet state="visible" name="Database" sheetId="3" r:id="rId7"/>
    <sheet state="visible" name="Backend" sheetId="4" r:id="rId8"/>
    <sheet state="visible" name="FlutterFlow" sheetId="5" r:id="rId9"/>
    <sheet state="visible" name="QA &amp; Testing" sheetId="6" r:id="rId10"/>
    <sheet state="visible" name="Edge Functions" sheetId="7" r:id="rId11"/>
    <sheet state="visible" name="Cron Jobs" sheetId="8" r:id="rId12"/>
    <sheet state="visible" name="Feature Tracker" sheetId="9" r:id="rId13"/>
    <sheet state="visible" name="updates" sheetId="10" r:id="rId14"/>
  </sheets>
  <definedNames/>
  <calcPr/>
</workbook>
</file>

<file path=xl/sharedStrings.xml><?xml version="1.0" encoding="utf-8"?>
<sst xmlns="http://schemas.openxmlformats.org/spreadsheetml/2006/main" count="1139" uniqueCount="562">
  <si>
    <t>⚙️ Backend Engineer  —  TakeOnTime App Task Tracker</t>
  </si>
  <si>
    <t>🗄️ DB Engineer  —  TakeOnTime App Task Tracker</t>
  </si>
  <si>
    <t xml:space="preserve">📊 TakeOnTime / FOOD ORDERING APP — Full Project Task Tracker   |   FlutterFlow · Supabase · FCM · Razorpay </t>
  </si>
  <si>
    <t>🎨 UI/UX Designer  —  TakeOnTime App Task Tracker</t>
  </si>
  <si>
    <t>Supabase schema, RLS, functions, migrations, optimisation</t>
  </si>
  <si>
    <t>All Sheets: UI/UX · Database · Backend · FlutterFlow · QA · Security    |   12-Week MVP Roadmap</t>
  </si>
  <si>
    <t>#</t>
  </si>
  <si>
    <t>Figma screens, design system, prototypes, handoff</t>
  </si>
  <si>
    <t>Edge Functions, payments, notifications, settlement engine</t>
  </si>
  <si>
    <t>Team / Role</t>
  </si>
  <si>
    <t>Phase</t>
  </si>
  <si>
    <t>Responsibilities</t>
  </si>
  <si>
    <t>Week</t>
  </si>
  <si>
    <t>Sheet Name</t>
  </si>
  <si>
    <t>Task ID</t>
  </si>
  <si>
    <t>Task Title</t>
  </si>
  <si>
    <t>Total Tasks</t>
  </si>
  <si>
    <t>Description</t>
  </si>
  <si>
    <t>Not Started</t>
  </si>
  <si>
    <t>Deliverable / Output</t>
  </si>
  <si>
    <t>In Progress</t>
  </si>
  <si>
    <t>In Review</t>
  </si>
  <si>
    <t>Priority</t>
  </si>
  <si>
    <t>Done</t>
  </si>
  <si>
    <t>Status</t>
  </si>
  <si>
    <t>Assigned To</t>
  </si>
  <si>
    <t>Blocked</t>
  </si>
  <si>
    <t>% Complete</t>
  </si>
  <si>
    <t>Depends On</t>
  </si>
  <si>
    <t>Est. Hours</t>
  </si>
  <si>
    <t>Actual Hours</t>
  </si>
  <si>
    <t>Notes</t>
  </si>
  <si>
    <t>🎨 UI/UX Designer</t>
  </si>
  <si>
    <t>Phase 0</t>
  </si>
  <si>
    <t>UI-UX Design</t>
  </si>
  <si>
    <t>W1</t>
  </si>
  <si>
    <t>UX-001</t>
  </si>
  <si>
    <t>Design System &amp; Style Guide</t>
  </si>
  <si>
    <t>Define colour palette, typography, spacing grid, icon set, component tokens for Customer/Vendor/Admin apps</t>
  </si>
  <si>
    <t>design-system Figma file</t>
  </si>
  <si>
    <t>High</t>
  </si>
  <si>
    <t>DB-001</t>
  </si>
  <si>
    <t>Supabase Project Setup</t>
  </si>
  <si>
    <t>Create Supabase project, configure Auth, Database, Storage, Edge Functions, Realtime, RLS</t>
  </si>
  <si>
    <t>UI/UX Designer</t>
  </si>
  <si>
    <t>BE-001</t>
  </si>
  <si>
    <t>Supabase project live</t>
  </si>
  <si>
    <t>—</t>
  </si>
  <si>
    <t>Razorpay Account &amp; API Keys</t>
  </si>
  <si>
    <t>UX-002</t>
  </si>
  <si>
    <t>Create Razorpay account, generate API keys, store secrets in Supabase Vault</t>
  </si>
  <si>
    <t>App Navigation Wireframes</t>
  </si>
  <si>
    <t>Wireframe core navigation for Customer app, Vendor dashboard, and Admin panel</t>
  </si>
  <si>
    <t>Wireframe set</t>
  </si>
  <si>
    <t>Keys in Vault</t>
  </si>
  <si>
    <t>Phase 1</t>
  </si>
  <si>
    <t>W2</t>
  </si>
  <si>
    <t>UX-003</t>
  </si>
  <si>
    <t>Customer Onboarding Screens</t>
  </si>
  <si>
    <t>Design Splash, OTP/Email login, Basic Profile, Organization Selector screens</t>
  </si>
  <si>
    <t>Onboarding screen frames + prototype</t>
  </si>
  <si>
    <t>Medium</t>
  </si>
  <si>
    <t>Critical</t>
  </si>
  <si>
    <t>UX-004</t>
  </si>
  <si>
    <t>Vendor Onboarding Screens</t>
  </si>
  <si>
    <t>Design Register, Business Profile, GST Status form, Document Upload screens</t>
  </si>
  <si>
    <t>Vendor onboarding frames</t>
  </si>
  <si>
    <t>Phase 2</t>
  </si>
  <si>
    <t>W3</t>
  </si>
  <si>
    <t>UX-005</t>
  </si>
  <si>
    <t>Vendor Branch &amp; Bank Setup Screens</t>
  </si>
  <si>
    <t>Design Branch Setup (hours, counter, holidays) and Bank Account Connect screens</t>
  </si>
  <si>
    <t>Branch/bank screen frames</t>
  </si>
  <si>
    <t>Phase 3</t>
  </si>
  <si>
    <t>W4</t>
  </si>
  <si>
    <t>UX-006</t>
  </si>
  <si>
    <t>Vendor Menu Management Screens</t>
  </si>
  <si>
    <t>Design Category Manager, Product Editor, Availability Window Setting, Store &amp; Inventory Toggles</t>
  </si>
  <si>
    <t>Menu management frames</t>
  </si>
  <si>
    <t>Phase 4</t>
  </si>
  <si>
    <t>W5</t>
  </si>
  <si>
    <t>DB-002</t>
  </si>
  <si>
    <t>BE-002</t>
  </si>
  <si>
    <t>UX-007</t>
  </si>
  <si>
    <t>Edge Function: send_otp / verify_otp</t>
  </si>
  <si>
    <t>Customer Discovery Screens</t>
  </si>
  <si>
    <t>Phone OTP or Email login for Customer, Vendor, Admin roles</t>
  </si>
  <si>
    <t>Design Vendor List (search/filter), Menu Screen (time-aware greying), Product Detail</t>
  </si>
  <si>
    <t>Design Core Schema (20 tables)</t>
  </si>
  <si>
    <t>Auth functions tested</t>
  </si>
  <si>
    <t>Discovery screen frames</t>
  </si>
  <si>
    <t>DB-005</t>
  </si>
  <si>
    <t>Phase 5</t>
  </si>
  <si>
    <t>W6</t>
  </si>
  <si>
    <t>UX-008</t>
  </si>
  <si>
    <t>Cart, Checkout &amp; Payment Screens</t>
  </si>
  <si>
    <t>Design Cart, Checkout (pickup-time picker), Payment Method Selector, Razorpay/COD confirmation screens</t>
  </si>
  <si>
    <t>Design and create the core schema per SRS Section 5, including payment_method / payment_status columns</t>
  </si>
  <si>
    <t>Checkout screen frames</t>
  </si>
  <si>
    <t>BE-003</t>
  </si>
  <si>
    <t>Core schema live</t>
  </si>
  <si>
    <t>Edge Function: vendor_document_notify</t>
  </si>
  <si>
    <t>Notify admin/vendor on document upload; update verification status</t>
  </si>
  <si>
    <t>Function tested</t>
  </si>
  <si>
    <t>UX-009</t>
  </si>
  <si>
    <t>Cancel-Order Countdown Component</t>
  </si>
  <si>
    <t>DB-006</t>
  </si>
  <si>
    <t>Design Cancel Order button with a live 2:00 countdown timer for the confirmation/tracking screen</t>
  </si>
  <si>
    <t>Countdown component + states</t>
  </si>
  <si>
    <t>DB-003</t>
  </si>
  <si>
    <t>Storage Buckets Setup</t>
  </si>
  <si>
    <t>BE-004</t>
  </si>
  <si>
    <t>🗄️ DB Engineer</t>
  </si>
  <si>
    <t>Edge Function: create_razorpay_order + Webhook</t>
  </si>
  <si>
    <t>Create buckets: product-images, vendor-logos, organization-images, invoices, documents</t>
  </si>
  <si>
    <t>Launch Razorpay checkout, verify webhook signature, create order only on payment success</t>
  </si>
  <si>
    <t>Database</t>
  </si>
  <si>
    <t>UX-010</t>
  </si>
  <si>
    <t>Function + webhook tested</t>
  </si>
  <si>
    <t>Storage buckets live</t>
  </si>
  <si>
    <t>Invoice PDF Layout</t>
  </si>
  <si>
    <t>Design the auto-generated customer invoice layout for both Razorpay (paid) and COD (pay-at-pickup) paths</t>
  </si>
  <si>
    <t>Invoice template</t>
  </si>
  <si>
    <t>DB-009</t>
  </si>
  <si>
    <t>Phase 6</t>
  </si>
  <si>
    <t>BE-005</t>
  </si>
  <si>
    <t>W7</t>
  </si>
  <si>
    <t>Edge Function: process_cod_order</t>
  </si>
  <si>
    <t>DB-004</t>
  </si>
  <si>
    <t>UX-011</t>
  </si>
  <si>
    <t>Create order immediately with payment_status = pending_cod; mark invoice "Pay at Pickup"</t>
  </si>
  <si>
    <t>Baseline RLS Policies</t>
  </si>
  <si>
    <t>Vendor Kitchen Display Screens</t>
  </si>
  <si>
    <t>Design Order Queue (sorted by pickup deadline), Accept Order Modal, Order Card, Cancel/Refund flow</t>
  </si>
  <si>
    <t>Write baseline RLS: Customer → own orders only; Vendor → own branch only; Admin → read everything</t>
  </si>
  <si>
    <t>Kitchen display frames</t>
  </si>
  <si>
    <t>RLS policies live</t>
  </si>
  <si>
    <t>Phase 7</t>
  </si>
  <si>
    <t>W8</t>
  </si>
  <si>
    <t>BE-006</t>
  </si>
  <si>
    <t>UX-012</t>
  </si>
  <si>
    <t>Customer Tracking &amp; Pickup Screens</t>
  </si>
  <si>
    <t>Edge Function: generate_invoice</t>
  </si>
  <si>
    <t>Design Live Order Tracker, ETA Display, OTP/QR Pickup Screen</t>
  </si>
  <si>
    <t>Auto-generate downloadable PDF invoice for both Razorpay and COD payment paths</t>
  </si>
  <si>
    <t>Tracking screen frames</t>
  </si>
  <si>
    <t>users &amp; vendors Tables</t>
  </si>
  <si>
    <t>users (role, phone, email, auth fields); vendors (gst_registered, gstin); RLS tested for all 3 roles</t>
  </si>
  <si>
    <t>Tables + RLS tested</t>
  </si>
  <si>
    <t>Phase 8</t>
  </si>
  <si>
    <t>W9</t>
  </si>
  <si>
    <t>UX-013</t>
  </si>
  <si>
    <t>BE-007</t>
  </si>
  <si>
    <t>Edge Function: self_cancel_order</t>
  </si>
  <si>
    <t>2-minute self-service cancellation: Razorpay auto-refund via API or COD void, before vendor acceptance</t>
  </si>
  <si>
    <t>Organization &amp; Vendor Branch Tables</t>
  </si>
  <si>
    <t>organizations, vendor_organizations, vendor_branches; vendors.documents_url, bank_account_ref</t>
  </si>
  <si>
    <t>Tables live</t>
  </si>
  <si>
    <t>Vendor Settlement &amp; Earnings Screens</t>
  </si>
  <si>
    <t>DB-007</t>
  </si>
  <si>
    <t>DB-010</t>
  </si>
  <si>
    <t>Categories &amp; Products Tables</t>
  </si>
  <si>
    <t>⚙️ Backend Engineer</t>
  </si>
  <si>
    <t>Design "Cash Collected" action, Settlement Statement PDF (Razorpay vs COD shown separately)</t>
  </si>
  <si>
    <t>categories; products (price, gst_percent, availability_start/end, stock_status)</t>
  </si>
  <si>
    <t>Settlement screen frames</t>
  </si>
  <si>
    <t>Backend</t>
  </si>
  <si>
    <t>DB-008</t>
  </si>
  <si>
    <t>Geofenced Marketplace Query</t>
  </si>
  <si>
    <t>Optimised query: vendors visible to a customer by selected organization, with public-browse fallback</t>
  </si>
  <si>
    <t>BE-008</t>
  </si>
  <si>
    <t>Query tested</t>
  </si>
  <si>
    <t>FCM Push: New Order Notification</t>
  </si>
  <si>
    <t>Loud, repeating alert to vendor for incoming orders until accepted</t>
  </si>
  <si>
    <t>Push tested</t>
  </si>
  <si>
    <t>Orders, Payments &amp; Invoice Tables</t>
  </si>
  <si>
    <t>orders (pickup_time, payment_method); order_items; payments (gateway_ref/COD, status, amount); customer_invoices</t>
  </si>
  <si>
    <t>DB-011</t>
  </si>
  <si>
    <t>BE-009</t>
  </si>
  <si>
    <t>Self-Cancellation Fields</t>
  </si>
  <si>
    <t>Edge Function: cancel_order (vendor-initiated)</t>
  </si>
  <si>
    <t>Vendor cancellation with auto digital refund or manually logged cash refund</t>
  </si>
  <si>
    <t>Phase 9</t>
  </si>
  <si>
    <t>W10</t>
  </si>
  <si>
    <t>Add orders.customer_cancel_deadline (timestamptz), cancelled_by (enum), cancellable (boolean, default true)</t>
  </si>
  <si>
    <t>Fields live + tested</t>
  </si>
  <si>
    <t>UX-014</t>
  </si>
  <si>
    <t>Reports &amp; Order History Screens</t>
  </si>
  <si>
    <t>Design Vendor Earnings Dashboard, Reports Export, Customer Order History &amp; Repeat Order</t>
  </si>
  <si>
    <t>Reports/history frames</t>
  </si>
  <si>
    <t>BE-010</t>
  </si>
  <si>
    <t>FCM Push: Order Lifecycle Notifications</t>
  </si>
  <si>
    <t>Order Status &amp; Notifications Tables</t>
  </si>
  <si>
    <t>Phase 10</t>
  </si>
  <si>
    <t>Accepted (with ETA), ready for pickup, reminder, cancelled — including COD cash-ready reminder</t>
  </si>
  <si>
    <t>orders (status, prep_time_minutes, cancelled_reason, refund_type); notifications (order-event log)</t>
  </si>
  <si>
    <t>W11</t>
  </si>
  <si>
    <t>Push flows tested</t>
  </si>
  <si>
    <t>UX-015</t>
  </si>
  <si>
    <t>Admin Panel Design</t>
  </si>
  <si>
    <t>Design Admin Dashboard, Charts (orders/revenue/payment mix), Top Lists, Audit Log Viewer</t>
  </si>
  <si>
    <t>Admin panel frames</t>
  </si>
  <si>
    <t>DB-012</t>
  </si>
  <si>
    <t>OTP/QR Pickup Fields</t>
  </si>
  <si>
    <t>orders.otp_code / qr_token, collected_at; notifications FCM log</t>
  </si>
  <si>
    <t>BE-011</t>
  </si>
  <si>
    <t>Fields live</t>
  </si>
  <si>
    <t>Settlement Engine</t>
  </si>
  <si>
    <t>Nets Razorpay payables against COD fees owed per vendor, daily or weekly; generates vendor statement PDF</t>
  </si>
  <si>
    <t>Phase 11</t>
  </si>
  <si>
    <t>Engine tested</t>
  </si>
  <si>
    <t>W12</t>
  </si>
  <si>
    <t>UX-016</t>
  </si>
  <si>
    <t>Store Assets &amp; Screenshots</t>
  </si>
  <si>
    <t>Design Play Store / App Store screenshots, feature graphic, app icon variants</t>
  </si>
  <si>
    <t>DB-013</t>
  </si>
  <si>
    <t>Store graphics package</t>
  </si>
  <si>
    <t>Settlement Tables</t>
  </si>
  <si>
    <t>payments status enum (incl. Collected, Refunded); vendor_settlements; vendor_settlement_items (nets Razorpay vs COD)</t>
  </si>
  <si>
    <t>Tables live + tested</t>
  </si>
  <si>
    <t>BE-012</t>
  </si>
  <si>
    <t>Razorpay Refund API Integration</t>
  </si>
  <si>
    <t>Automatic full refund for self-cancelled Razorpay orders; exclude both cancellation paths from settlement</t>
  </si>
  <si>
    <t>Refund flow tested</t>
  </si>
  <si>
    <t>DB-014</t>
  </si>
  <si>
    <t>Reporting Aggregation Views</t>
  </si>
  <si>
    <t>Aggregation views over orders, order_items, payments for vendor/customer dashboards</t>
  </si>
  <si>
    <t>Views live</t>
  </si>
  <si>
    <t>BE-013</t>
  </si>
  <si>
    <t>DB-015</t>
  </si>
  <si>
    <t>Audit Log &amp; System Config Tables</t>
  </si>
  <si>
    <t>Reports Export API</t>
  </si>
  <si>
    <t>audit_logs (payment/order/login trail); system_config (platform fee %, etc.)</t>
  </si>
  <si>
    <t>🔧 FlutterFlow Dev</t>
  </si>
  <si>
    <t>Daily/weekly/monthly vendor reports exportable as CSV/PDF</t>
  </si>
  <si>
    <t>Customer/Vendor/Admin build, Supabase connect, screens, actions, deploy</t>
  </si>
  <si>
    <t>API tested</t>
  </si>
  <si>
    <t>FlutterFlow</t>
  </si>
  <si>
    <t>DB-016</t>
  </si>
  <si>
    <t>Production Migration &amp; Backup</t>
  </si>
  <si>
    <t>Numbered idempotent migration script for all tables/RLS/functions; configure production backups</t>
  </si>
  <si>
    <t>migration_001.sql + backup verified</t>
  </si>
  <si>
    <t>BE-014</t>
  </si>
  <si>
    <t>Admin Analytics Endpoints</t>
  </si>
  <si>
    <t>Aggregation endpoints for dashboard: users, vendors, orders, revenue, fees, pending settlements</t>
  </si>
  <si>
    <t>Endpoints tested</t>
  </si>
  <si>
    <t>BE-015</t>
  </si>
  <si>
    <t>Load Testing — Orders &amp; Payments</t>
  </si>
  <si>
    <t>Simulate concurrent order/payment traffic; identify and fix bottlenecks</t>
  </si>
  <si>
    <t>Load test report</t>
  </si>
  <si>
    <t>BE-016</t>
  </si>
  <si>
    <t>Webhook Signature Hardening</t>
  </si>
  <si>
    <t>Final security pass on Razorpay webhook signature verification before launch</t>
  </si>
  <si>
    <t>Hardening verified</t>
  </si>
  <si>
    <t>TOTAL</t>
  </si>
  <si>
    <t>PHASES AT A GLANCE (1 phase = 1 week, per SRS Section 6)</t>
  </si>
  <si>
    <t>Name</t>
  </si>
  <si>
    <t>Timeline</t>
  </si>
  <si>
    <t>What Happens</t>
  </si>
  <si>
    <t>Database &amp; Project Setup</t>
  </si>
  <si>
    <t>Week 1</t>
  </si>
  <si>
    <t>Backend-only: Supabase project, core schema, storage buckets, baseline RLS</t>
  </si>
  <si>
    <t>Authentication &amp; Roles</t>
  </si>
  <si>
    <t>Week 2</t>
  </si>
  <si>
    <t>Customer/Vendor/Admin login, RLS tested for all roles</t>
  </si>
  <si>
    <t>Vendor Onboarding &amp; Organization</t>
  </si>
  <si>
    <t>Week 3</t>
  </si>
  <si>
    <t>Register, documents, bank integration, branch setup, organization</t>
  </si>
  <si>
    <t>Menu Management</t>
  </si>
  <si>
    <t>Week 4</t>
  </si>
  <si>
    <t>Categories, products, availability windows, store/inventory toggles</t>
  </si>
  <si>
    <t>Customer Discovery &amp; Browsing</t>
  </si>
  <si>
    <t>Week 5</t>
  </si>
  <si>
    <t>Vendor list, menu, product detail, geofenced marketplace</t>
  </si>
  <si>
    <t>Cart, Checkout &amp; Payments + Self-Cancellation</t>
  </si>
  <si>
    <t>Week 6</t>
  </si>
  <si>
    <t>Razorpay + COD checkout, invoice, 2-min self-cancel window</t>
  </si>
  <si>
    <t>Vendor Live Order Management</t>
  </si>
  <si>
    <t>Week 7</t>
  </si>
  <si>
    <t>Order queue, accept/prep time, cancel + refund flows</t>
  </si>
  <si>
    <t>Customer Tracking &amp; Notifications</t>
  </si>
  <si>
    <t>Week 8</t>
  </si>
  <si>
    <t>Live tracker, ETA, OTP/QR pickup, FCM pushes</t>
  </si>
  <si>
    <t>Finance Engine</t>
  </si>
  <si>
    <t>Week 9</t>
  </si>
  <si>
    <t>Settlement engine, COD reconciliation, cancellation refund logic</t>
  </si>
  <si>
    <t>Reports &amp; Dashboards</t>
  </si>
  <si>
    <t>Week 10</t>
  </si>
  <si>
    <t>Vendor earnings dashboard, exportable reports, order history</t>
  </si>
  <si>
    <t>Admin Panel</t>
  </si>
  <si>
    <t>Week 11</t>
  </si>
  <si>
    <t>Platform dashboard, charts, top lists, audit log</t>
  </si>
  <si>
    <t>Testing, QA &amp; Launch</t>
  </si>
  <si>
    <t>Week 12</t>
  </si>
  <si>
    <t>Full regression, security review, Play Store &amp; App Store submission</t>
  </si>
  <si>
    <t>🔧 FlutterFlow Dev  —  TakeOnTime App Task Tracker</t>
  </si>
  <si>
    <t>FF-001</t>
  </si>
  <si>
    <t>FlutterFlow Project Setup</t>
  </si>
  <si>
    <t>Create Customer, Vendor, Admin projects/apps; configure theme from design system</t>
  </si>
  <si>
    <t>Projects live</t>
  </si>
  <si>
    <t>FF-002</t>
  </si>
  <si>
    <t>Connect Supabase &amp; Import Schema</t>
  </si>
  <si>
    <t>Connect Supabase URL + anon key, import all core tables</t>
  </si>
  <si>
    <t>Supabase connected</t>
  </si>
  <si>
    <t>FF-003</t>
  </si>
  <si>
    <t>Login/Signup — All Roles</t>
  </si>
  <si>
    <t>Customer Login/Signup (OTP/Email), Vendor Login/Signup, Admin Login + Profile forms</t>
  </si>
  <si>
    <t>Auth screens live</t>
  </si>
  <si>
    <t>FF-004</t>
  </si>
  <si>
    <t>🧪 QA Engineer  —  TakeOnTime App Task Tracker</t>
  </si>
  <si>
    <t>Vendor Onboarding Flow</t>
  </si>
  <si>
    <t>Register → Business Profile → Document Upload → Bank Connect → Branch Setup → Select/Create Org</t>
  </si>
  <si>
    <t>Vendor onboarding live</t>
  </si>
  <si>
    <t>FF-005</t>
  </si>
  <si>
    <t>Vendor Menu Management</t>
  </si>
  <si>
    <t>Category Manager, Product Editor, Availability Window Setting, Store &amp; Inventory Toggles</t>
  </si>
  <si>
    <t>Menu management live</t>
  </si>
  <si>
    <t>FF-006</t>
  </si>
  <si>
    <t>Vendor List (search/nearby/category), Menu Screen (time-aware), Product Detail</t>
  </si>
  <si>
    <t>Discovery live</t>
  </si>
  <si>
    <t>Test plans, functional, regression, payment edge cases</t>
  </si>
  <si>
    <t>FF-007</t>
  </si>
  <si>
    <t>Cart &amp; Checkout</t>
  </si>
  <si>
    <t>Cart, Checkout (pickup-time picker), Payment Method Selector</t>
  </si>
  <si>
    <t>Checkout live</t>
  </si>
  <si>
    <t>⚙️ Edge Functions Catalog  —  TakeOnTime App</t>
  </si>
  <si>
    <t>FF-008</t>
  </si>
  <si>
    <t>Razorpay Checkout Integration</t>
  </si>
  <si>
    <t>UPI/Card/Netbanking checkout wired to BE-004; Order Created + Invoice Generated on success</t>
  </si>
  <si>
    <t>Integration tested</t>
  </si>
  <si>
    <t>FF-009</t>
  </si>
  <si>
    <t>COD Confirmation &amp; Invoice Screen</t>
  </si>
  <si>
    <t>COD confirmation screen; auto-generated downloadable PDF invoice for both payment paths</t>
  </si>
  <si>
    <t>Screens live</t>
  </si>
  <si>
    <t>QA-001</t>
  </si>
  <si>
    <t>FF-010</t>
  </si>
  <si>
    <t>Self-Cancel Button + Countdown</t>
  </si>
  <si>
    <t>Cancel Order button with live 2:00 countdown on Confirmation/Tracking screen; disables on deadline/acceptance</t>
  </si>
  <si>
    <t>Component live + tested</t>
  </si>
  <si>
    <t xml:space="preserve">Backend service layer — one Edge Function per business operation </t>
  </si>
  <si>
    <t>FF-011</t>
  </si>
  <si>
    <t>Vendor Kitchen Display</t>
  </si>
  <si>
    <t>Order Queue sorted by pickup deadline, Accept Order Modal (5/10/15/30 min), Order Card with COD flag</t>
  </si>
  <si>
    <t>Kitchen display live</t>
  </si>
  <si>
    <t>FF-012</t>
  </si>
  <si>
    <t>QA-002</t>
  </si>
  <si>
    <t>Vendor Cancel/Refund Flow</t>
  </si>
  <si>
    <t>Cancel + Auto-Refund and Cancel + Cash Refund actions on the order card</t>
  </si>
  <si>
    <t>Flow tested</t>
  </si>
  <si>
    <t>Edge Function</t>
  </si>
  <si>
    <t>Service Module</t>
  </si>
  <si>
    <t>Trigger</t>
  </si>
  <si>
    <t>Purpose</t>
  </si>
  <si>
    <t>Week Built</t>
  </si>
  <si>
    <t>QA-003</t>
  </si>
  <si>
    <t>send_otp / verify_otp</t>
  </si>
  <si>
    <t>QA-004</t>
  </si>
  <si>
    <t>Authentication Service</t>
  </si>
  <si>
    <t>Client call</t>
  </si>
  <si>
    <t>Issue and verify phone/email OTP for all three roles</t>
  </si>
  <si>
    <t>QA-005</t>
  </si>
  <si>
    <t>⏰ Cron Jobs / Scheduled Tasks  —  TakeOnTime App</t>
  </si>
  <si>
    <t>create_order</t>
  </si>
  <si>
    <t>Order Service</t>
  </si>
  <si>
    <t>Client call (post payment success / COD select)</t>
  </si>
  <si>
    <t>Validates cart, consumes stock hold, creates order and order_items, deducts inventory., sets cancellable window</t>
  </si>
  <si>
    <t>QA-006</t>
  </si>
  <si>
    <t>FF-013</t>
  </si>
  <si>
    <t>Customer Live Order Tracker</t>
  </si>
  <si>
    <t>Tracker (Received→Accepted→Preparing→Ready→Collected), dynamic ETA display</t>
  </si>
  <si>
    <t>Tracker live</t>
  </si>
  <si>
    <t xml:space="preserve">Scheduled backend execution required beyond request/response Edge Functions </t>
  </si>
  <si>
    <t>verify_payment</t>
  </si>
  <si>
    <t>Payment Service</t>
  </si>
  <si>
    <t>QA-007</t>
  </si>
  <si>
    <t>Razorpay webhook</t>
  </si>
  <si>
    <t>Verifies webhook,
matches razorpay_order_id,
updates payment,
calls create_order.</t>
  </si>
  <si>
    <t>FF-014</t>
  </si>
  <si>
    <t>OTP/QR Pickup Verification</t>
  </si>
  <si>
    <t>Cron Job</t>
  </si>
  <si>
    <t>Customer OTP/QR pickup screen; Vendor scan-to-verify screen</t>
  </si>
  <si>
    <t>Schedule</t>
  </si>
  <si>
    <t>Screens tested</t>
  </si>
  <si>
    <t>create_invoice / generate_pdf</t>
  </si>
  <si>
    <t>What It Does</t>
  </si>
  <si>
    <t>Invoice Service</t>
  </si>
  <si>
    <t>After create_order</t>
  </si>
  <si>
    <t>Renders and stores the customer invoice PDF (Razorpay-paid or Pay-at-Pickup)</t>
  </si>
  <si>
    <t>cron_scheduled_orders</t>
  </si>
  <si>
    <t>FF-015</t>
  </si>
  <si>
    <t>Cash Collected &amp; Settlement Statement</t>
  </si>
  <si>
    <t>Every minute</t>
  </si>
  <si>
    <t>Vendor "Cash Collected" action button; Settlement Statement PDF viewer (Razorpay vs COD)</t>
  </si>
  <si>
    <t>Auto-sends “Order for Later” orders to the vendor at the correct lead time before pickup</t>
  </si>
  <si>
    <t>cleanup_expired_cancellations</t>
  </si>
  <si>
    <t>Flips orders.cancellable to false once customer_cancel_deadline passes</t>
  </si>
  <si>
    <t>cancel_order (self-cancel)</t>
  </si>
  <si>
    <t>Client call (customer, within 2-min window)</t>
  </si>
  <si>
    <t>Razorpay auto-refund via API or COD void, before vendor acceptance</t>
  </si>
  <si>
    <t>FF-016</t>
  </si>
  <si>
    <t>Vendor Earnings Dashboard &amp; Export</t>
  </si>
  <si>
    <t>Today/7-day/month/year/lifetime earnings view; CSV/PDF report export</t>
  </si>
  <si>
    <t>Dashboard live</t>
  </si>
  <si>
    <t>release_expired_stock_holds</t>
  </si>
  <si>
    <t>Releases expired stock reservations</t>
  </si>
  <si>
    <t>settlement_run</t>
  </si>
  <si>
    <t>Daily or weekly (configurable)</t>
  </si>
  <si>
    <t>FF-017</t>
  </si>
  <si>
    <t>Runs the settlement engine and generates vendor statements</t>
  </si>
  <si>
    <t>create_payment_order</t>
  </si>
  <si>
    <t>Customer Order History &amp; Repeat Order</t>
  </si>
  <si>
    <t>Order history list, invoice re-download, repeat-order action</t>
  </si>
  <si>
    <t>Client Call</t>
  </si>
  <si>
    <t>Creates Razorpay Order, creates stock hold, writes preliminary payment</t>
  </si>
  <si>
    <t>notification_reminders</t>
  </si>
  <si>
    <t>Every few minutes</t>
  </si>
  <si>
    <t>COD pickup reminders, “order ready” nudges not yet acknowledged</t>
  </si>
  <si>
    <t>invoice_cleanup</t>
  </si>
  <si>
    <t>Daily</t>
  </si>
  <si>
    <t>Removes/archives expired or orphaned invoice files from storage</t>
  </si>
  <si>
    <t>FF-018</t>
  </si>
  <si>
    <t>vendor_accept_order</t>
  </si>
  <si>
    <t>Admin Dashboard &amp; Charts</t>
  </si>
  <si>
    <t>Users/vendors/orders/revenue/fees/settlements dashboard; order &amp; revenue charts; top lists</t>
  </si>
  <si>
    <t>analytics_refresh</t>
  </si>
  <si>
    <t>Client call (vendor)</t>
  </si>
  <si>
    <t>Admin dashboard live</t>
  </si>
  <si>
    <t>Accepts order, sets prep_time_minutes, notifies customer</t>
  </si>
  <si>
    <t>Hourly</t>
  </si>
  <si>
    <t>Refreshes materialized views backing the vendor and admin dashboards</t>
  </si>
  <si>
    <t>cancel_order (vendor-initiated)</t>
  </si>
  <si>
    <t>FF-019</t>
  </si>
  <si>
    <t>Admin Audit Log Viewer</t>
  </si>
  <si>
    <t>Payments/orders/logins audit trail viewer</t>
  </si>
  <si>
    <t>Viewer live</t>
  </si>
  <si>
    <t>FF-020</t>
  </si>
  <si>
    <t>Android &amp; iOS Build + Regression</t>
  </si>
  <si>
    <t>Build both platforms; full regression pass across every screen built in Weeks 1–11</t>
  </si>
  <si>
    <t>Builds tested</t>
  </si>
  <si>
    <t>vendor_document_notify</t>
  </si>
  <si>
    <t>Vendor Service</t>
  </si>
  <si>
    <t>On document upload</t>
  </si>
  <si>
    <t>Notifies admin/vendor, updates verification status</t>
  </si>
  <si>
    <t>FF-021</t>
  </si>
  <si>
    <t>Play Store &amp; App Store Submission</t>
  </si>
  <si>
    <t>Submit production builds with store listings, screenshots, privacy policy</t>
  </si>
  <si>
    <t>Apps submitted</t>
  </si>
  <si>
    <t>Settlement Service</t>
  </si>
  <si>
    <t>Cron (daily/weekly)</t>
  </si>
  <si>
    <t>QA-008</t>
  </si>
  <si>
    <t>Nets Razorpay payables vs COD fees owed per vendor, writes vendor_settlements</t>
  </si>
  <si>
    <t>send_notifications</t>
  </si>
  <si>
    <t>Notification Service</t>
  </si>
  <si>
    <t>Called by other functions</t>
  </si>
  <si>
    <t>Central FCM fan-out + notifications log writer</t>
  </si>
  <si>
    <t>W7–W8</t>
  </si>
  <si>
    <t>QA-009</t>
  </si>
  <si>
    <t>QA-010</t>
  </si>
  <si>
    <t>QA-011</t>
  </si>
  <si>
    <t>QA-012</t>
  </si>
  <si>
    <t>QA-013</t>
  </si>
  <si>
    <t>QA-014</t>
  </si>
  <si>
    <t>QA-015</t>
  </si>
  <si>
    <t>🧵 Feature Tracker (Cross-Layer View)  —  TakeOnTime App</t>
  </si>
  <si>
    <t>Every feature traced across Flow, UI, Database, Backend, Edge Function, API, and Testing ]</t>
  </si>
  <si>
    <t>Feature</t>
  </si>
  <si>
    <t>Flow</t>
  </si>
  <si>
    <t>UI</t>
  </si>
  <si>
    <t>API</t>
  </si>
  <si>
    <t>Testing</t>
  </si>
  <si>
    <t>Authentication (OTP/Email, 3 roles)</t>
  </si>
  <si>
    <t>Login → Verify → Profile</t>
  </si>
  <si>
    <t>Login/Signup screens (Customer/Vendor/Admin)</t>
  </si>
  <si>
    <t>users, device_tokens</t>
  </si>
  <si>
    <t>Vendor Onboarding</t>
  </si>
  <si>
    <t>Register → Docs → Bank → Branch → Org</t>
  </si>
  <si>
    <t>Vendor onboarding screens</t>
  </si>
  <si>
    <t>vendors, vendor_branches, vendor_organizations</t>
  </si>
  <si>
    <t>Category → Product → Images → Availability</t>
  </si>
  <si>
    <t>Category Manager, Product Editor</t>
  </si>
  <si>
    <t>categories, products, product_images</t>
  </si>
  <si>
    <t>Customer Discovery</t>
  </si>
  <si>
    <t>Org select → Vendor List → Menu → Product</t>
  </si>
  <si>
    <t>Vendor List, Menu, Product Detail</t>
  </si>
  <si>
    <t>organizations, vendor_organizations, products (read)</t>
  </si>
  <si>
    <t>Geofenced query</t>
  </si>
  <si>
    <t>Cart &amp; Checkout (Razorpay)</t>
  </si>
  <si>
    <t>Cart → Checkout → Pay → Order → Invoice</t>
  </si>
  <si>
    <t>Cart, Checkout, Razorpay Checkout, Invoice</t>
  </si>
  <si>
    <t>orders, order_items, payments, customer_invoices</t>
  </si>
  <si>
    <t>Order + Payment + Invoice Services</t>
  </si>
  <si>
    <t>create_payment_order
verify_payment
create_order
create_invoice</t>
  </si>
  <si>
    <t>Razorpay Orders/Webhook API</t>
  </si>
  <si>
    <t>Cart &amp; Checkout (COD)</t>
  </si>
  <si>
    <t>Cart → Checkout → Order → Invoice (Pay at Pickup)</t>
  </si>
  <si>
    <t>COD Confirmation Screen, Invoice</t>
  </si>
  <si>
    <t>Order + Invoice Services</t>
  </si>
  <si>
    <t>create_order, create_invoice</t>
  </si>
  <si>
    <t>Self-Cancellation (2-min window)</t>
  </si>
  <si>
    <t>Cancel tap → Refund/Void → order_events</t>
  </si>
  <si>
    <t>Cancel button + countdown</t>
  </si>
  <si>
    <t>orders (cancel fields), order_events</t>
  </si>
  <si>
    <t>cancel_order</t>
  </si>
  <si>
    <t>Razorpay Refund API</t>
  </si>
  <si>
    <t>Scheduled Orders (“Order for Later”)</t>
  </si>
  <si>
    <t>Save → cron → Auto-send to vendor</t>
  </si>
  <si>
    <t>Pickup-time picker (Later option)</t>
  </si>
  <si>
    <t>orders (pickup_time)</t>
  </si>
  <si>
    <t>QA-006 / QA-008</t>
  </si>
  <si>
    <t>Notify → Accept → Prep → Ready → Collected</t>
  </si>
  <si>
    <t>Kitchen Display, Accept Modal, Order Card</t>
  </si>
  <si>
    <t>orders, order_events, notifications</t>
  </si>
  <si>
    <t>Order + Notification Services</t>
  </si>
  <si>
    <t>vendor_accept_order, cancel_order, send_notifications</t>
  </si>
  <si>
    <t>Customer Tracking &amp; Pickup</t>
  </si>
  <si>
    <t>Realtime tracker → ETA → OTP/QR → Collected</t>
  </si>
  <si>
    <t>Live Tracker, ETA, OTP/QR Screen</t>
  </si>
  <si>
    <t>orders (otp/qr, collected_at), order_events</t>
  </si>
  <si>
    <t>Realtime (orders)</t>
  </si>
  <si>
    <t>Cron → Net payables/receivables → Statement</t>
  </si>
  <si>
    <t>Settlement Statement PDF, Cash Collected button</t>
  </si>
  <si>
    <t>payments, vendor_settlements, vendor_settlement_items</t>
  </si>
  <si>
    <t>Razorpay Payouts (future)</t>
  </si>
  <si>
    <t>Aggregate → Filter → Export</t>
  </si>
  <si>
    <t>Earnings Dashboard, Reports Export, Order History</t>
  </si>
  <si>
    <t>Aggregation views over orders/payments</t>
  </si>
  <si>
    <t>generate_pdf</t>
  </si>
  <si>
    <t>Aggregate platform-wide → Charts → Audit</t>
  </si>
  <si>
    <t>Admin Dashboard, Charts, Top Lists, Audit Log</t>
  </si>
  <si>
    <t>audit_logs, system_config</t>
  </si>
  <si>
    <t>Notifications (FCM, multi-device)</t>
  </si>
  <si>
    <t>Trigger → Fan-out → Push → Log</t>
  </si>
  <si>
    <t>Notification Center (Vendor)</t>
  </si>
  <si>
    <t>notifications, device_tokens</t>
  </si>
  <si>
    <t>FCM API</t>
  </si>
  <si>
    <t>QA-008 / QA-009</t>
  </si>
  <si>
    <t>🗄️ New &amp; Planned Tables  —  TakeOnTime App</t>
  </si>
  <si>
    <t xml:space="preserve">Additions beyond the original 13 core table groups </t>
  </si>
  <si>
    <t>Table</t>
  </si>
  <si>
    <t>Purpose / Replaces</t>
  </si>
  <si>
    <t>product_images</t>
  </si>
  <si>
    <t>MVP (Week 1/4)</t>
  </si>
  <si>
    <t>Replaces products.image_url — one product can carry a gallery of images</t>
  </si>
  <si>
    <t>order_events</t>
  </si>
  <si>
    <t>MVP (Week 1/6–8)</t>
  </si>
  <si>
    <t>Replaces relying on orders.status alone — stores full status history (Accepted/Preparing/Ready/Collected/Cancelled) for analytics, audits, support</t>
  </si>
  <si>
    <t>device_tokens</t>
  </si>
  <si>
    <t>MVP (Week 1/2)</t>
  </si>
  <si>
    <t>Replaces a single FCM token on users — one user can have many devices</t>
  </si>
  <si>
    <t>favorite_vendors</t>
  </si>
  <si>
    <t>Post-MVP</t>
  </si>
  <si>
    <t>Customer's saved vendors for quick access</t>
  </si>
  <si>
    <t>favorite_products</t>
  </si>
  <si>
    <t>Customer's saved products — speeds up repeat ordering</t>
  </si>
  <si>
    <t>customer_addresses</t>
  </si>
  <si>
    <t>Saved addresses; unused for pickup-only MVP but positions the app for future delivery</t>
  </si>
  <si>
    <t>support_tickets</t>
  </si>
  <si>
    <t>Customer support requests, optionally linked to an order</t>
  </si>
  <si>
    <t>vendor_holidays</t>
  </si>
  <si>
    <t>Holiday calendar as its own table instead of a field inside vendor_branches</t>
  </si>
  <si>
    <t>stock_holds</t>
  </si>
  <si>
    <t>Temporary inventory reservation between stock validation and payment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</si>
</sst>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3.0"/>
      <color rgb="FFFFFFFF"/>
      <name val="Arial"/>
    </font>
    <font/>
    <font>
      <i/>
      <sz val="11.0"/>
      <color rgb="FF595959"/>
      <name val="Arial"/>
    </font>
    <font>
      <b/>
      <sz val="11.0"/>
      <color rgb="FFFFFFFF"/>
      <name val="Arial"/>
    </font>
    <font>
      <sz val="11.0"/>
      <color theme="1"/>
      <name val="Arial"/>
    </font>
    <font>
      <b/>
      <sz val="11.0"/>
      <color theme="1"/>
      <name val="Arial"/>
    </font>
    <font>
      <sz val="11.0"/>
      <color theme="1"/>
      <name val="Calibri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2E75B6"/>
        <bgColor rgb="FF2E75B6"/>
      </patternFill>
    </fill>
    <fill>
      <patternFill patternType="solid">
        <fgColor rgb="FF1F4E78"/>
        <bgColor rgb="FF1F4E78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center" wrapText="0"/>
    </xf>
    <xf borderId="2" fillId="0" fontId="2" numFmtId="0" xfId="0" applyBorder="1" applyFont="1"/>
    <xf borderId="1" fillId="2" fontId="1" numFmtId="0" xfId="0" applyAlignment="1" applyBorder="1" applyFill="1" applyFont="1">
      <alignment readingOrder="0" shrinkToFit="0" vertical="bottom" wrapText="0"/>
    </xf>
    <xf borderId="3" fillId="0" fontId="2" numFmtId="0" xfId="0" applyBorder="1" applyFont="1"/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readingOrder="0" shrinkToFit="0" vertical="bottom" wrapText="0"/>
    </xf>
    <xf borderId="4" fillId="3" fontId="4" numFmtId="0" xfId="0" applyAlignment="1" applyBorder="1" applyFill="1" applyFont="1">
      <alignment horizontal="center" shrinkToFit="0" vertical="top" wrapText="1"/>
    </xf>
    <xf borderId="4" fillId="0" fontId="5" numFmtId="0" xfId="0" applyAlignment="1" applyBorder="1" applyFont="1">
      <alignment horizontal="center" shrinkToFit="0" vertical="center" wrapText="0"/>
    </xf>
    <xf borderId="4" fillId="0" fontId="5" numFmtId="0" xfId="0" applyAlignment="1" applyBorder="1" applyFont="1">
      <alignment horizontal="center" shrinkToFit="0" vertical="top" wrapText="0"/>
    </xf>
    <xf borderId="4" fillId="0" fontId="5" numFmtId="0" xfId="0" applyAlignment="1" applyBorder="1" applyFont="1">
      <alignment shrinkToFit="0" vertical="top" wrapText="1"/>
    </xf>
    <xf borderId="4" fillId="0" fontId="5" numFmtId="0" xfId="0" applyAlignment="1" applyBorder="1" applyFont="1">
      <alignment horizontal="center" readingOrder="0" shrinkToFit="0" vertical="top" wrapText="0"/>
    </xf>
    <xf borderId="4" fillId="0" fontId="5" numFmtId="0" xfId="0" applyAlignment="1" applyBorder="1" applyFont="1">
      <alignment readingOrder="0" shrinkToFit="0" vertical="top" wrapText="1"/>
    </xf>
    <xf borderId="4" fillId="0" fontId="5" numFmtId="9" xfId="0" applyAlignment="1" applyBorder="1" applyFont="1" applyNumberFormat="1">
      <alignment horizontal="center" shrinkToFit="0" vertical="center" wrapText="0"/>
    </xf>
    <xf borderId="0" fillId="0" fontId="6" numFmtId="0" xfId="0" applyAlignment="1" applyFont="1">
      <alignment shrinkToFit="0" vertical="bottom" wrapText="0"/>
    </xf>
    <xf borderId="4" fillId="0" fontId="7" numFmtId="0" xfId="0" applyAlignment="1" applyBorder="1" applyFont="1">
      <alignment horizontal="center" shrinkToFit="0" vertical="bottom" wrapText="0"/>
    </xf>
    <xf borderId="4" fillId="0" fontId="6" numFmtId="0" xfId="0" applyAlignment="1" applyBorder="1" applyFont="1">
      <alignment horizontal="center" shrinkToFit="0" vertical="bottom" wrapText="0"/>
    </xf>
    <xf borderId="4" fillId="0" fontId="6" numFmtId="9" xfId="0" applyAlignment="1" applyBorder="1" applyFont="1" applyNumberFormat="1">
      <alignment horizontal="center" shrinkToFit="0" vertical="bottom" wrapText="0"/>
    </xf>
    <xf borderId="0" fillId="0" fontId="8" numFmtId="0" xfId="0" applyAlignment="1" applyFont="1">
      <alignment horizontal="center"/>
    </xf>
    <xf borderId="4" fillId="3" fontId="4" numFmtId="0" xfId="0" applyAlignment="1" applyBorder="1" applyFill="1" applyFont="1">
      <alignment shrinkToFit="0" vertical="bottom" wrapText="0"/>
    </xf>
    <xf borderId="1" fillId="2" fontId="1" numFmtId="0" xfId="0" applyBorder="1" applyFill="1" applyFont="1"/>
    <xf borderId="0" fillId="0" fontId="7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4" fillId="3" fontId="4" numFmtId="0" xfId="0" applyAlignment="1" applyBorder="1" applyFill="1" applyFont="1">
      <alignment horizontal="center" shrinkToFit="0" vertical="top" wrapText="1"/>
    </xf>
    <xf borderId="4" fillId="0" fontId="5" numFmtId="0" xfId="0" applyAlignment="1" applyBorder="1" applyFont="1">
      <alignment horizontal="center" shrinkToFit="0" vertical="top" wrapText="1"/>
    </xf>
    <xf borderId="4" fillId="0" fontId="5" numFmtId="0" xfId="0" applyAlignment="1" applyBorder="1" applyFont="1">
      <alignment shrinkToFit="0" vertical="top" wrapText="1"/>
    </xf>
    <xf borderId="4" fillId="0" fontId="5" numFmtId="0" xfId="0" applyAlignment="1" applyBorder="1" applyFont="1">
      <alignment horizontal="center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6.0"/>
    <col customWidth="1" min="2" max="2" width="22.0"/>
    <col customWidth="1" min="3" max="3" width="42.0"/>
    <col customWidth="1" min="4" max="4" width="16.0"/>
    <col customWidth="1" min="5" max="7" width="11.0"/>
    <col customWidth="1" min="8" max="8" width="10.0"/>
    <col customWidth="1" min="9" max="9" width="8.0"/>
    <col customWidth="1" min="10" max="10" width="9.0"/>
    <col customWidth="1" min="11" max="11" width="11.0"/>
    <col customWidth="1" min="12" max="26" width="8.71"/>
  </cols>
  <sheetData>
    <row r="1" ht="24.0" customHeight="1">
      <c r="A1" s="3" t="s">
        <v>2</v>
      </c>
      <c r="B1" s="2"/>
      <c r="C1" s="2"/>
      <c r="D1" s="2"/>
      <c r="E1" s="2"/>
      <c r="F1" s="2"/>
      <c r="G1" s="2"/>
      <c r="H1" s="2"/>
      <c r="I1" s="2"/>
      <c r="J1" s="2"/>
      <c r="K1" s="4"/>
    </row>
    <row r="2" ht="15.75" customHeight="1">
      <c r="A2" s="6" t="s">
        <v>5</v>
      </c>
    </row>
    <row r="4">
      <c r="A4" s="7" t="s">
        <v>6</v>
      </c>
      <c r="B4" s="7" t="s">
        <v>9</v>
      </c>
      <c r="C4" s="7" t="s">
        <v>11</v>
      </c>
      <c r="D4" s="7" t="s">
        <v>13</v>
      </c>
      <c r="E4" s="7" t="s">
        <v>16</v>
      </c>
      <c r="F4" s="7" t="s">
        <v>18</v>
      </c>
      <c r="G4" s="7" t="s">
        <v>20</v>
      </c>
      <c r="H4" s="7" t="s">
        <v>21</v>
      </c>
      <c r="I4" s="7" t="s">
        <v>23</v>
      </c>
      <c r="J4" s="7" t="s">
        <v>26</v>
      </c>
      <c r="K4" s="7" t="s">
        <v>27</v>
      </c>
    </row>
    <row r="5">
      <c r="A5" s="8">
        <v>1.0</v>
      </c>
      <c r="B5" s="8" t="s">
        <v>32</v>
      </c>
      <c r="C5" s="10" t="s">
        <v>7</v>
      </c>
      <c r="D5" s="8" t="s">
        <v>34</v>
      </c>
      <c r="E5" s="8">
        <f>COUNTA('UI-UX Design'!D4:D19)</f>
        <v>16</v>
      </c>
      <c r="F5" s="8">
        <f>COUNTIF('UI-UX Design'!I4:I19,"Not Started")</f>
        <v>16</v>
      </c>
      <c r="G5" s="8">
        <f>COUNTIF('UI-UX Design'!I4:I19,"In Progress")</f>
        <v>0</v>
      </c>
      <c r="H5" s="8">
        <f>COUNTIF('UI-UX Design'!I4:I19,"In Review")</f>
        <v>0</v>
      </c>
      <c r="I5" s="8">
        <f>COUNTIF('UI-UX Design'!I4:I19,"Done")</f>
        <v>0</v>
      </c>
      <c r="J5" s="8">
        <f>COUNTIF('UI-UX Design'!I4:I19,"Blocked")</f>
        <v>0</v>
      </c>
      <c r="K5" s="13">
        <f t="shared" ref="K5:K9" si="1">IFERROR(I5/E5,"—")</f>
        <v>0</v>
      </c>
    </row>
    <row r="6">
      <c r="A6" s="8">
        <v>2.0</v>
      </c>
      <c r="B6" s="8" t="s">
        <v>112</v>
      </c>
      <c r="C6" s="10" t="s">
        <v>4</v>
      </c>
      <c r="D6" s="8" t="s">
        <v>116</v>
      </c>
      <c r="E6" s="8">
        <f>COUNTA(Database!D4:D19)</f>
        <v>16</v>
      </c>
      <c r="F6" s="8">
        <f>COUNTIF(Database!I4:I19,"Not Started")</f>
        <v>16</v>
      </c>
      <c r="G6" s="8">
        <f>COUNTIF(Database!I4:I19,"In Progress")</f>
        <v>0</v>
      </c>
      <c r="H6" s="8">
        <f>COUNTIF(Database!I4:I19,"In Review")</f>
        <v>0</v>
      </c>
      <c r="I6" s="8">
        <f>COUNTIF(Database!I4:I19,"Done")</f>
        <v>0</v>
      </c>
      <c r="J6" s="8">
        <f>COUNTIF(Database!I4:I19,"Blocked")</f>
        <v>0</v>
      </c>
      <c r="K6" s="13">
        <f t="shared" si="1"/>
        <v>0</v>
      </c>
    </row>
    <row r="7">
      <c r="A7" s="8">
        <v>3.0</v>
      </c>
      <c r="B7" s="8" t="s">
        <v>162</v>
      </c>
      <c r="C7" s="10" t="s">
        <v>8</v>
      </c>
      <c r="D7" s="8" t="s">
        <v>166</v>
      </c>
      <c r="E7" s="8">
        <f>COUNTA(Backend!D4:D19)</f>
        <v>16</v>
      </c>
      <c r="F7" s="8">
        <f>COUNTIF(Backend!I4:I19,"Not Started")</f>
        <v>16</v>
      </c>
      <c r="G7" s="8">
        <f>COUNTIF(Backend!I4:I19,"In Progress")</f>
        <v>0</v>
      </c>
      <c r="H7" s="8">
        <f>COUNTIF(Backend!I4:I19,"In Review")</f>
        <v>0</v>
      </c>
      <c r="I7" s="8">
        <f>COUNTIF(Backend!I4:I19,"Done")</f>
        <v>0</v>
      </c>
      <c r="J7" s="8">
        <f>COUNTIF(Backend!I4:I19,"Blocked")</f>
        <v>0</v>
      </c>
      <c r="K7" s="13">
        <f t="shared" si="1"/>
        <v>0</v>
      </c>
    </row>
    <row r="8">
      <c r="A8" s="8">
        <v>4.0</v>
      </c>
      <c r="B8" s="8" t="s">
        <v>233</v>
      </c>
      <c r="C8" s="10" t="s">
        <v>235</v>
      </c>
      <c r="D8" s="8" t="s">
        <v>237</v>
      </c>
      <c r="E8" s="8">
        <f>COUNTA(FlutterFlow!D4:D24)</f>
        <v>21</v>
      </c>
      <c r="F8" s="8">
        <f>COUNTIF(FlutterFlow!I4:I24,"Not Started")</f>
        <v>21</v>
      </c>
      <c r="G8" s="8">
        <f>COUNTIF(FlutterFlow!I4:I24,"In Progress")</f>
        <v>0</v>
      </c>
      <c r="H8" s="8">
        <f>COUNTIF(FlutterFlow!I4:I24,"In Review")</f>
        <v>0</v>
      </c>
      <c r="I8" s="8">
        <f>COUNTIF(FlutterFlow!I4:I24,"Done")</f>
        <v>0</v>
      </c>
      <c r="J8" s="8">
        <f>COUNTIF(FlutterFlow!I4:I24,"Blocked")</f>
        <v>0</v>
      </c>
      <c r="K8" s="13">
        <f t="shared" si="1"/>
        <v>0</v>
      </c>
    </row>
    <row r="9">
      <c r="A9" s="15"/>
      <c r="B9" s="16" t="s">
        <v>254</v>
      </c>
      <c r="C9" s="15"/>
      <c r="D9" s="15"/>
      <c r="E9" s="16">
        <f t="shared" ref="E9:J9" si="2">SUM(E5:E8)</f>
        <v>69</v>
      </c>
      <c r="F9" s="16">
        <f t="shared" si="2"/>
        <v>69</v>
      </c>
      <c r="G9" s="16">
        <f t="shared" si="2"/>
        <v>0</v>
      </c>
      <c r="H9" s="16">
        <f t="shared" si="2"/>
        <v>0</v>
      </c>
      <c r="I9" s="16">
        <f t="shared" si="2"/>
        <v>0</v>
      </c>
      <c r="J9" s="16">
        <f t="shared" si="2"/>
        <v>0</v>
      </c>
      <c r="K9" s="17">
        <f t="shared" si="1"/>
        <v>0</v>
      </c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1">
      <c r="A11" s="14" t="s">
        <v>255</v>
      </c>
    </row>
    <row r="12">
      <c r="A12" s="19" t="s">
        <v>10</v>
      </c>
      <c r="B12" s="19" t="s">
        <v>256</v>
      </c>
      <c r="C12" s="19" t="s">
        <v>257</v>
      </c>
      <c r="D12" s="19" t="s">
        <v>258</v>
      </c>
    </row>
    <row r="13">
      <c r="A13" s="10" t="s">
        <v>33</v>
      </c>
      <c r="B13" s="10" t="s">
        <v>259</v>
      </c>
      <c r="C13" s="10" t="s">
        <v>260</v>
      </c>
      <c r="D13" s="10" t="s">
        <v>261</v>
      </c>
    </row>
    <row r="14">
      <c r="A14" s="10" t="s">
        <v>55</v>
      </c>
      <c r="B14" s="10" t="s">
        <v>262</v>
      </c>
      <c r="C14" s="10" t="s">
        <v>263</v>
      </c>
      <c r="D14" s="10" t="s">
        <v>264</v>
      </c>
    </row>
    <row r="15">
      <c r="A15" s="10" t="s">
        <v>67</v>
      </c>
      <c r="B15" s="10" t="s">
        <v>265</v>
      </c>
      <c r="C15" s="10" t="s">
        <v>266</v>
      </c>
      <c r="D15" s="10" t="s">
        <v>267</v>
      </c>
    </row>
    <row r="16">
      <c r="A16" s="10" t="s">
        <v>73</v>
      </c>
      <c r="B16" s="10" t="s">
        <v>268</v>
      </c>
      <c r="C16" s="10" t="s">
        <v>269</v>
      </c>
      <c r="D16" s="10" t="s">
        <v>270</v>
      </c>
    </row>
    <row r="17" ht="15.75" customHeight="1">
      <c r="A17" s="10" t="s">
        <v>79</v>
      </c>
      <c r="B17" s="10" t="s">
        <v>271</v>
      </c>
      <c r="C17" s="10" t="s">
        <v>272</v>
      </c>
      <c r="D17" s="10" t="s">
        <v>273</v>
      </c>
    </row>
    <row r="18" ht="15.75" customHeight="1">
      <c r="A18" s="10" t="s">
        <v>92</v>
      </c>
      <c r="B18" s="10" t="s">
        <v>274</v>
      </c>
      <c r="C18" s="10" t="s">
        <v>275</v>
      </c>
      <c r="D18" s="10" t="s">
        <v>276</v>
      </c>
    </row>
    <row r="19" ht="15.75" customHeight="1">
      <c r="A19" s="10" t="s">
        <v>124</v>
      </c>
      <c r="B19" s="10" t="s">
        <v>277</v>
      </c>
      <c r="C19" s="10" t="s">
        <v>278</v>
      </c>
      <c r="D19" s="10" t="s">
        <v>279</v>
      </c>
    </row>
    <row r="20" ht="15.75" customHeight="1">
      <c r="A20" s="10" t="s">
        <v>137</v>
      </c>
      <c r="B20" s="10" t="s">
        <v>280</v>
      </c>
      <c r="C20" s="10" t="s">
        <v>281</v>
      </c>
      <c r="D20" s="10" t="s">
        <v>282</v>
      </c>
    </row>
    <row r="21" ht="15.75" customHeight="1">
      <c r="A21" s="10" t="s">
        <v>149</v>
      </c>
      <c r="B21" s="10" t="s">
        <v>283</v>
      </c>
      <c r="C21" s="10" t="s">
        <v>284</v>
      </c>
      <c r="D21" s="10" t="s">
        <v>285</v>
      </c>
    </row>
    <row r="22" ht="15.75" customHeight="1">
      <c r="A22" s="10" t="s">
        <v>182</v>
      </c>
      <c r="B22" s="10" t="s">
        <v>286</v>
      </c>
      <c r="C22" s="10" t="s">
        <v>287</v>
      </c>
      <c r="D22" s="10" t="s">
        <v>288</v>
      </c>
    </row>
    <row r="23" ht="15.75" customHeight="1">
      <c r="A23" s="10" t="s">
        <v>193</v>
      </c>
      <c r="B23" s="10" t="s">
        <v>289</v>
      </c>
      <c r="C23" s="10" t="s">
        <v>290</v>
      </c>
      <c r="D23" s="10" t="s">
        <v>291</v>
      </c>
    </row>
    <row r="24" ht="15.75" customHeight="1">
      <c r="A24" s="10" t="s">
        <v>209</v>
      </c>
      <c r="B24" s="10" t="s">
        <v>292</v>
      </c>
      <c r="C24" s="10" t="s">
        <v>293</v>
      </c>
      <c r="D24" s="10" t="s">
        <v>294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mergeCells count="2">
    <mergeCell ref="A1:K1"/>
    <mergeCell ref="A2:K2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4.0"/>
    <col customWidth="1" min="2" max="2" width="10.0"/>
    <col customWidth="1" min="3" max="3" width="7.0"/>
    <col customWidth="1" min="4" max="4" width="10.0"/>
    <col customWidth="1" min="5" max="5" width="26.0"/>
    <col customWidth="1" min="6" max="6" width="46.0"/>
    <col customWidth="1" min="7" max="7" width="26.0"/>
    <col customWidth="1" min="8" max="8" width="14.29"/>
    <col customWidth="1" min="9" max="9" width="17.43"/>
    <col customWidth="1" min="10" max="10" width="16.0"/>
    <col customWidth="1" min="11" max="11" width="12.0"/>
    <col customWidth="1" min="12" max="13" width="10.0"/>
    <col customWidth="1" min="14" max="14" width="20.0"/>
    <col customWidth="1" min="15" max="26" width="8.71"/>
  </cols>
  <sheetData>
    <row r="1" ht="21.75" customHeight="1">
      <c r="A1" s="1" t="s">
        <v>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4"/>
    </row>
    <row r="2" ht="15.75" customHeight="1">
      <c r="A2" s="5" t="s">
        <v>7</v>
      </c>
    </row>
    <row r="3">
      <c r="A3" s="7" t="s">
        <v>6</v>
      </c>
      <c r="B3" s="7" t="s">
        <v>10</v>
      </c>
      <c r="C3" s="7" t="s">
        <v>12</v>
      </c>
      <c r="D3" s="7" t="s">
        <v>14</v>
      </c>
      <c r="E3" s="7" t="s">
        <v>15</v>
      </c>
      <c r="F3" s="7" t="s">
        <v>17</v>
      </c>
      <c r="G3" s="7" t="s">
        <v>19</v>
      </c>
      <c r="H3" s="7" t="s">
        <v>22</v>
      </c>
      <c r="I3" s="7" t="s">
        <v>24</v>
      </c>
      <c r="J3" s="7" t="s">
        <v>25</v>
      </c>
      <c r="K3" s="7" t="s">
        <v>28</v>
      </c>
      <c r="L3" s="7" t="s">
        <v>29</v>
      </c>
      <c r="M3" s="7" t="s">
        <v>30</v>
      </c>
      <c r="N3" s="7" t="s">
        <v>31</v>
      </c>
    </row>
    <row r="4" ht="30.0" customHeight="1">
      <c r="A4" s="9">
        <v>1.0</v>
      </c>
      <c r="B4" s="10" t="s">
        <v>33</v>
      </c>
      <c r="C4" s="9" t="s">
        <v>35</v>
      </c>
      <c r="D4" s="10" t="s">
        <v>36</v>
      </c>
      <c r="E4" s="10" t="s">
        <v>37</v>
      </c>
      <c r="F4" s="10" t="s">
        <v>38</v>
      </c>
      <c r="G4" s="10" t="s">
        <v>39</v>
      </c>
      <c r="H4" s="11" t="s">
        <v>40</v>
      </c>
      <c r="I4" s="11" t="s">
        <v>18</v>
      </c>
      <c r="J4" s="10" t="s">
        <v>44</v>
      </c>
      <c r="K4" s="10" t="s">
        <v>47</v>
      </c>
      <c r="L4" s="9">
        <v>16.0</v>
      </c>
      <c r="M4" s="9"/>
      <c r="N4" s="10"/>
    </row>
    <row r="5" ht="30.0" customHeight="1">
      <c r="A5" s="9">
        <v>2.0</v>
      </c>
      <c r="B5" s="10" t="s">
        <v>33</v>
      </c>
      <c r="C5" s="9" t="s">
        <v>35</v>
      </c>
      <c r="D5" s="10" t="s">
        <v>49</v>
      </c>
      <c r="E5" s="10" t="s">
        <v>51</v>
      </c>
      <c r="F5" s="10" t="s">
        <v>52</v>
      </c>
      <c r="G5" s="10" t="s">
        <v>53</v>
      </c>
      <c r="H5" s="11" t="s">
        <v>40</v>
      </c>
      <c r="I5" s="9" t="s">
        <v>18</v>
      </c>
      <c r="J5" s="10" t="s">
        <v>44</v>
      </c>
      <c r="K5" s="10" t="s">
        <v>36</v>
      </c>
      <c r="L5" s="9">
        <v>10.0</v>
      </c>
      <c r="M5" s="9"/>
      <c r="N5" s="10"/>
    </row>
    <row r="6" ht="30.0" customHeight="1">
      <c r="A6" s="9">
        <v>3.0</v>
      </c>
      <c r="B6" s="10" t="s">
        <v>55</v>
      </c>
      <c r="C6" s="9" t="s">
        <v>56</v>
      </c>
      <c r="D6" s="10" t="s">
        <v>57</v>
      </c>
      <c r="E6" s="10" t="s">
        <v>58</v>
      </c>
      <c r="F6" s="10" t="s">
        <v>59</v>
      </c>
      <c r="G6" s="10" t="s">
        <v>60</v>
      </c>
      <c r="H6" s="11" t="s">
        <v>61</v>
      </c>
      <c r="I6" s="9" t="s">
        <v>18</v>
      </c>
      <c r="J6" s="10" t="s">
        <v>44</v>
      </c>
      <c r="K6" s="10" t="s">
        <v>49</v>
      </c>
      <c r="L6" s="9">
        <v>14.0</v>
      </c>
      <c r="M6" s="9"/>
      <c r="N6" s="10"/>
    </row>
    <row r="7" ht="30.0" customHeight="1">
      <c r="A7" s="9">
        <v>4.0</v>
      </c>
      <c r="B7" s="10" t="s">
        <v>55</v>
      </c>
      <c r="C7" s="9" t="s">
        <v>56</v>
      </c>
      <c r="D7" s="10" t="s">
        <v>63</v>
      </c>
      <c r="E7" s="10" t="s">
        <v>64</v>
      </c>
      <c r="F7" s="10" t="s">
        <v>65</v>
      </c>
      <c r="G7" s="10" t="s">
        <v>66</v>
      </c>
      <c r="H7" s="11" t="s">
        <v>61</v>
      </c>
      <c r="I7" s="9" t="s">
        <v>18</v>
      </c>
      <c r="J7" s="10" t="s">
        <v>44</v>
      </c>
      <c r="K7" s="10" t="s">
        <v>49</v>
      </c>
      <c r="L7" s="9">
        <v>14.0</v>
      </c>
      <c r="M7" s="9"/>
      <c r="N7" s="10"/>
    </row>
    <row r="8" ht="30.0" customHeight="1">
      <c r="A8" s="9">
        <v>5.0</v>
      </c>
      <c r="B8" s="10" t="s">
        <v>67</v>
      </c>
      <c r="C8" s="9" t="s">
        <v>68</v>
      </c>
      <c r="D8" s="10" t="s">
        <v>69</v>
      </c>
      <c r="E8" s="10" t="s">
        <v>70</v>
      </c>
      <c r="F8" s="10" t="s">
        <v>71</v>
      </c>
      <c r="G8" s="10" t="s">
        <v>72</v>
      </c>
      <c r="H8" s="11" t="s">
        <v>61</v>
      </c>
      <c r="I8" s="9" t="s">
        <v>18</v>
      </c>
      <c r="J8" s="10" t="s">
        <v>44</v>
      </c>
      <c r="K8" s="10" t="s">
        <v>63</v>
      </c>
      <c r="L8" s="9">
        <v>8.0</v>
      </c>
      <c r="M8" s="9"/>
      <c r="N8" s="10"/>
    </row>
    <row r="9" ht="30.0" customHeight="1">
      <c r="A9" s="9">
        <v>6.0</v>
      </c>
      <c r="B9" s="10" t="s">
        <v>73</v>
      </c>
      <c r="C9" s="9" t="s">
        <v>74</v>
      </c>
      <c r="D9" s="10" t="s">
        <v>75</v>
      </c>
      <c r="E9" s="10" t="s">
        <v>76</v>
      </c>
      <c r="F9" s="10" t="s">
        <v>77</v>
      </c>
      <c r="G9" s="10" t="s">
        <v>78</v>
      </c>
      <c r="H9" s="11" t="s">
        <v>61</v>
      </c>
      <c r="I9" s="9" t="s">
        <v>18</v>
      </c>
      <c r="J9" s="10" t="s">
        <v>44</v>
      </c>
      <c r="K9" s="10" t="s">
        <v>63</v>
      </c>
      <c r="L9" s="9">
        <v>16.0</v>
      </c>
      <c r="M9" s="9"/>
      <c r="N9" s="10"/>
    </row>
    <row r="10" ht="30.0" customHeight="1">
      <c r="A10" s="9">
        <v>7.0</v>
      </c>
      <c r="B10" s="10" t="s">
        <v>79</v>
      </c>
      <c r="C10" s="9" t="s">
        <v>80</v>
      </c>
      <c r="D10" s="10" t="s">
        <v>83</v>
      </c>
      <c r="E10" s="10" t="s">
        <v>85</v>
      </c>
      <c r="F10" s="10" t="s">
        <v>87</v>
      </c>
      <c r="G10" s="10" t="s">
        <v>90</v>
      </c>
      <c r="H10" s="11" t="s">
        <v>61</v>
      </c>
      <c r="I10" s="9" t="s">
        <v>18</v>
      </c>
      <c r="J10" s="10" t="s">
        <v>44</v>
      </c>
      <c r="K10" s="10" t="s">
        <v>57</v>
      </c>
      <c r="L10" s="9">
        <v>14.0</v>
      </c>
      <c r="M10" s="9"/>
      <c r="N10" s="10"/>
    </row>
    <row r="11" ht="30.0" customHeight="1">
      <c r="A11" s="9">
        <v>8.0</v>
      </c>
      <c r="B11" s="10" t="s">
        <v>92</v>
      </c>
      <c r="C11" s="9" t="s">
        <v>93</v>
      </c>
      <c r="D11" s="10" t="s">
        <v>94</v>
      </c>
      <c r="E11" s="10" t="s">
        <v>95</v>
      </c>
      <c r="F11" s="10" t="s">
        <v>96</v>
      </c>
      <c r="G11" s="10" t="s">
        <v>98</v>
      </c>
      <c r="H11" s="11" t="s">
        <v>61</v>
      </c>
      <c r="I11" s="9" t="s">
        <v>18</v>
      </c>
      <c r="J11" s="10" t="s">
        <v>44</v>
      </c>
      <c r="K11" s="10" t="s">
        <v>83</v>
      </c>
      <c r="L11" s="9">
        <v>16.0</v>
      </c>
      <c r="M11" s="9"/>
      <c r="N11" s="10"/>
    </row>
    <row r="12" ht="30.0" customHeight="1">
      <c r="A12" s="9">
        <v>9.0</v>
      </c>
      <c r="B12" s="10" t="s">
        <v>92</v>
      </c>
      <c r="C12" s="9" t="s">
        <v>93</v>
      </c>
      <c r="D12" s="10" t="s">
        <v>104</v>
      </c>
      <c r="E12" s="10" t="s">
        <v>105</v>
      </c>
      <c r="F12" s="10" t="s">
        <v>107</v>
      </c>
      <c r="G12" s="10" t="s">
        <v>108</v>
      </c>
      <c r="H12" s="11" t="s">
        <v>61</v>
      </c>
      <c r="I12" s="9" t="s">
        <v>18</v>
      </c>
      <c r="J12" s="10" t="s">
        <v>44</v>
      </c>
      <c r="K12" s="10" t="s">
        <v>94</v>
      </c>
      <c r="L12" s="9">
        <v>6.0</v>
      </c>
      <c r="M12" s="9"/>
      <c r="N12" s="10"/>
    </row>
    <row r="13" ht="30.0" customHeight="1">
      <c r="A13" s="9">
        <v>10.0</v>
      </c>
      <c r="B13" s="10" t="s">
        <v>92</v>
      </c>
      <c r="C13" s="9" t="s">
        <v>93</v>
      </c>
      <c r="D13" s="10" t="s">
        <v>117</v>
      </c>
      <c r="E13" s="10" t="s">
        <v>120</v>
      </c>
      <c r="F13" s="10" t="s">
        <v>121</v>
      </c>
      <c r="G13" s="10" t="s">
        <v>122</v>
      </c>
      <c r="H13" s="9" t="s">
        <v>61</v>
      </c>
      <c r="I13" s="9" t="s">
        <v>18</v>
      </c>
      <c r="J13" s="10" t="s">
        <v>44</v>
      </c>
      <c r="K13" s="10" t="s">
        <v>94</v>
      </c>
      <c r="L13" s="9">
        <v>6.0</v>
      </c>
      <c r="M13" s="9"/>
      <c r="N13" s="10"/>
    </row>
    <row r="14" ht="30.0" customHeight="1">
      <c r="A14" s="9">
        <v>11.0</v>
      </c>
      <c r="B14" s="10" t="s">
        <v>124</v>
      </c>
      <c r="C14" s="9" t="s">
        <v>126</v>
      </c>
      <c r="D14" s="10" t="s">
        <v>129</v>
      </c>
      <c r="E14" s="10" t="s">
        <v>132</v>
      </c>
      <c r="F14" s="10" t="s">
        <v>133</v>
      </c>
      <c r="G14" s="10" t="s">
        <v>135</v>
      </c>
      <c r="H14" s="11" t="s">
        <v>61</v>
      </c>
      <c r="I14" s="9" t="s">
        <v>18</v>
      </c>
      <c r="J14" s="10" t="s">
        <v>44</v>
      </c>
      <c r="K14" s="10" t="s">
        <v>75</v>
      </c>
      <c r="L14" s="9">
        <v>14.0</v>
      </c>
      <c r="M14" s="9"/>
      <c r="N14" s="10"/>
    </row>
    <row r="15" ht="30.0" customHeight="1">
      <c r="A15" s="9">
        <v>12.0</v>
      </c>
      <c r="B15" s="10" t="s">
        <v>137</v>
      </c>
      <c r="C15" s="9" t="s">
        <v>138</v>
      </c>
      <c r="D15" s="10" t="s">
        <v>140</v>
      </c>
      <c r="E15" s="10" t="s">
        <v>141</v>
      </c>
      <c r="F15" s="10" t="s">
        <v>143</v>
      </c>
      <c r="G15" s="10" t="s">
        <v>145</v>
      </c>
      <c r="H15" s="11" t="s">
        <v>61</v>
      </c>
      <c r="I15" s="9" t="s">
        <v>18</v>
      </c>
      <c r="J15" s="10" t="s">
        <v>44</v>
      </c>
      <c r="K15" s="10" t="s">
        <v>83</v>
      </c>
      <c r="L15" s="9">
        <v>12.0</v>
      </c>
      <c r="M15" s="9"/>
      <c r="N15" s="10"/>
    </row>
    <row r="16" ht="30.0" customHeight="1">
      <c r="A16" s="9">
        <v>13.0</v>
      </c>
      <c r="B16" s="10" t="s">
        <v>149</v>
      </c>
      <c r="C16" s="9" t="s">
        <v>150</v>
      </c>
      <c r="D16" s="10" t="s">
        <v>151</v>
      </c>
      <c r="E16" s="10" t="s">
        <v>158</v>
      </c>
      <c r="F16" s="10" t="s">
        <v>163</v>
      </c>
      <c r="G16" s="10" t="s">
        <v>165</v>
      </c>
      <c r="H16" s="11" t="s">
        <v>61</v>
      </c>
      <c r="I16" s="9" t="s">
        <v>18</v>
      </c>
      <c r="J16" s="10" t="s">
        <v>44</v>
      </c>
      <c r="K16" s="10" t="s">
        <v>129</v>
      </c>
      <c r="L16" s="9">
        <v>10.0</v>
      </c>
      <c r="M16" s="9"/>
      <c r="N16" s="10"/>
    </row>
    <row r="17" ht="30.0" customHeight="1">
      <c r="A17" s="9">
        <v>14.0</v>
      </c>
      <c r="B17" s="10" t="s">
        <v>182</v>
      </c>
      <c r="C17" s="9" t="s">
        <v>183</v>
      </c>
      <c r="D17" s="10" t="s">
        <v>186</v>
      </c>
      <c r="E17" s="10" t="s">
        <v>187</v>
      </c>
      <c r="F17" s="10" t="s">
        <v>188</v>
      </c>
      <c r="G17" s="10" t="s">
        <v>189</v>
      </c>
      <c r="H17" s="9" t="s">
        <v>61</v>
      </c>
      <c r="I17" s="9" t="s">
        <v>18</v>
      </c>
      <c r="J17" s="10" t="s">
        <v>44</v>
      </c>
      <c r="K17" s="10" t="s">
        <v>151</v>
      </c>
      <c r="L17" s="9">
        <v>10.0</v>
      </c>
      <c r="M17" s="9"/>
      <c r="N17" s="10"/>
    </row>
    <row r="18" ht="30.0" customHeight="1">
      <c r="A18" s="9">
        <v>15.0</v>
      </c>
      <c r="B18" s="10" t="s">
        <v>193</v>
      </c>
      <c r="C18" s="9" t="s">
        <v>196</v>
      </c>
      <c r="D18" s="10" t="s">
        <v>198</v>
      </c>
      <c r="E18" s="10" t="s">
        <v>199</v>
      </c>
      <c r="F18" s="10" t="s">
        <v>200</v>
      </c>
      <c r="G18" s="10" t="s">
        <v>201</v>
      </c>
      <c r="H18" s="11" t="s">
        <v>61</v>
      </c>
      <c r="I18" s="9" t="s">
        <v>18</v>
      </c>
      <c r="J18" s="10" t="s">
        <v>44</v>
      </c>
      <c r="K18" s="10" t="s">
        <v>36</v>
      </c>
      <c r="L18" s="9">
        <v>14.0</v>
      </c>
      <c r="M18" s="9"/>
      <c r="N18" s="10"/>
    </row>
    <row r="19" ht="30.0" customHeight="1">
      <c r="A19" s="9">
        <v>16.0</v>
      </c>
      <c r="B19" s="10" t="s">
        <v>209</v>
      </c>
      <c r="C19" s="9" t="s">
        <v>211</v>
      </c>
      <c r="D19" s="10" t="s">
        <v>212</v>
      </c>
      <c r="E19" s="10" t="s">
        <v>213</v>
      </c>
      <c r="F19" s="10" t="s">
        <v>214</v>
      </c>
      <c r="G19" s="10" t="s">
        <v>216</v>
      </c>
      <c r="H19" s="11" t="s">
        <v>61</v>
      </c>
      <c r="I19" s="9" t="s">
        <v>18</v>
      </c>
      <c r="J19" s="10" t="s">
        <v>44</v>
      </c>
      <c r="K19" s="10" t="s">
        <v>198</v>
      </c>
      <c r="L19" s="9">
        <v>8.0</v>
      </c>
      <c r="M19" s="9"/>
      <c r="N19" s="10"/>
    </row>
    <row r="21" ht="15.75" customHeight="1">
      <c r="A21" s="14" t="str">
        <f>"TOTAL TASKS: "&amp;COUNTA(D4:D19)&amp;"   |   Est. Hours:"</f>
        <v>TOTAL TASKS: 16   |   Est. Hours:</v>
      </c>
      <c r="L21" s="14">
        <f>SUM(L4:L19)</f>
        <v>188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N1"/>
    <mergeCell ref="A2:N2"/>
  </mergeCells>
  <dataValidations>
    <dataValidation type="list" allowBlank="1" showErrorMessage="1" sqref="H4:H19">
      <formula1>"Critical,High,Medium"</formula1>
    </dataValidation>
    <dataValidation type="list" allowBlank="1" showErrorMessage="1" sqref="I4:I19">
      <formula1>"Pending,Not Started,Completed"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4.0"/>
    <col customWidth="1" min="2" max="2" width="10.0"/>
    <col customWidth="1" min="3" max="3" width="7.0"/>
    <col customWidth="1" min="4" max="4" width="10.0"/>
    <col customWidth="1" min="5" max="5" width="26.0"/>
    <col customWidth="1" min="6" max="6" width="46.0"/>
    <col customWidth="1" min="7" max="7" width="26.0"/>
    <col customWidth="1" min="8" max="8" width="14.29"/>
    <col customWidth="1" min="9" max="9" width="17.43"/>
    <col customWidth="1" min="10" max="10" width="16.0"/>
    <col customWidth="1" min="11" max="11" width="12.0"/>
    <col customWidth="1" min="12" max="13" width="10.0"/>
    <col customWidth="1" min="14" max="14" width="20.0"/>
    <col customWidth="1" min="15" max="26" width="8.71"/>
  </cols>
  <sheetData>
    <row r="1" ht="21.75" customHeight="1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4"/>
    </row>
    <row r="2" ht="15.75" customHeight="1">
      <c r="A2" s="5" t="s">
        <v>4</v>
      </c>
    </row>
    <row r="3">
      <c r="A3" s="7" t="s">
        <v>6</v>
      </c>
      <c r="B3" s="7" t="s">
        <v>10</v>
      </c>
      <c r="C3" s="7" t="s">
        <v>12</v>
      </c>
      <c r="D3" s="7" t="s">
        <v>14</v>
      </c>
      <c r="E3" s="7" t="s">
        <v>15</v>
      </c>
      <c r="F3" s="7" t="s">
        <v>17</v>
      </c>
      <c r="G3" s="7" t="s">
        <v>19</v>
      </c>
      <c r="H3" s="7" t="s">
        <v>22</v>
      </c>
      <c r="I3" s="7" t="s">
        <v>24</v>
      </c>
      <c r="J3" s="7" t="s">
        <v>25</v>
      </c>
      <c r="K3" s="7" t="s">
        <v>28</v>
      </c>
      <c r="L3" s="7" t="s">
        <v>29</v>
      </c>
      <c r="M3" s="7" t="s">
        <v>30</v>
      </c>
      <c r="N3" s="7" t="s">
        <v>31</v>
      </c>
    </row>
    <row r="4" ht="30.0" customHeight="1">
      <c r="A4" s="9">
        <v>1.0</v>
      </c>
      <c r="B4" s="10" t="s">
        <v>33</v>
      </c>
      <c r="C4" s="9" t="s">
        <v>35</v>
      </c>
      <c r="D4" s="10" t="s">
        <v>41</v>
      </c>
      <c r="E4" s="10" t="s">
        <v>42</v>
      </c>
      <c r="F4" s="10" t="s">
        <v>43</v>
      </c>
      <c r="G4" s="10" t="s">
        <v>46</v>
      </c>
      <c r="H4" s="9" t="s">
        <v>62</v>
      </c>
      <c r="I4" s="9" t="s">
        <v>18</v>
      </c>
      <c r="J4" s="10"/>
      <c r="K4" s="10" t="s">
        <v>47</v>
      </c>
      <c r="L4" s="9">
        <v>4.0</v>
      </c>
      <c r="M4" s="9"/>
      <c r="N4" s="10"/>
    </row>
    <row r="5" ht="30.0" customHeight="1">
      <c r="A5" s="9">
        <v>2.0</v>
      </c>
      <c r="B5" s="10" t="s">
        <v>33</v>
      </c>
      <c r="C5" s="9" t="s">
        <v>35</v>
      </c>
      <c r="D5" s="10" t="s">
        <v>81</v>
      </c>
      <c r="E5" s="12" t="s">
        <v>88</v>
      </c>
      <c r="F5" s="10" t="s">
        <v>97</v>
      </c>
      <c r="G5" s="10" t="s">
        <v>100</v>
      </c>
      <c r="H5" s="9" t="s">
        <v>62</v>
      </c>
      <c r="I5" s="9" t="s">
        <v>18</v>
      </c>
      <c r="J5" s="10"/>
      <c r="K5" s="10" t="s">
        <v>41</v>
      </c>
      <c r="L5" s="9">
        <v>10.0</v>
      </c>
      <c r="M5" s="9"/>
      <c r="N5" s="10"/>
    </row>
    <row r="6" ht="30.0" customHeight="1">
      <c r="A6" s="9">
        <v>3.0</v>
      </c>
      <c r="B6" s="10" t="s">
        <v>33</v>
      </c>
      <c r="C6" s="9" t="s">
        <v>35</v>
      </c>
      <c r="D6" s="10" t="s">
        <v>109</v>
      </c>
      <c r="E6" s="10" t="s">
        <v>110</v>
      </c>
      <c r="F6" s="10" t="s">
        <v>114</v>
      </c>
      <c r="G6" s="10" t="s">
        <v>119</v>
      </c>
      <c r="H6" s="9" t="s">
        <v>62</v>
      </c>
      <c r="I6" s="9" t="s">
        <v>18</v>
      </c>
      <c r="J6" s="10"/>
      <c r="K6" s="10" t="s">
        <v>41</v>
      </c>
      <c r="L6" s="9">
        <v>3.0</v>
      </c>
      <c r="M6" s="9"/>
      <c r="N6" s="10"/>
    </row>
    <row r="7" ht="30.0" customHeight="1">
      <c r="A7" s="9">
        <v>4.0</v>
      </c>
      <c r="B7" s="10" t="s">
        <v>33</v>
      </c>
      <c r="C7" s="9" t="s">
        <v>35</v>
      </c>
      <c r="D7" s="10" t="s">
        <v>128</v>
      </c>
      <c r="E7" s="10" t="s">
        <v>131</v>
      </c>
      <c r="F7" s="10" t="s">
        <v>134</v>
      </c>
      <c r="G7" s="10" t="s">
        <v>136</v>
      </c>
      <c r="H7" s="9" t="s">
        <v>62</v>
      </c>
      <c r="I7" s="9" t="s">
        <v>18</v>
      </c>
      <c r="J7" s="10"/>
      <c r="K7" s="10" t="s">
        <v>81</v>
      </c>
      <c r="L7" s="9">
        <v>8.0</v>
      </c>
      <c r="M7" s="9"/>
      <c r="N7" s="10"/>
    </row>
    <row r="8" ht="30.0" customHeight="1">
      <c r="A8" s="9">
        <v>5.0</v>
      </c>
      <c r="B8" s="10" t="s">
        <v>55</v>
      </c>
      <c r="C8" s="9" t="s">
        <v>56</v>
      </c>
      <c r="D8" s="10" t="s">
        <v>91</v>
      </c>
      <c r="E8" s="10" t="s">
        <v>146</v>
      </c>
      <c r="F8" s="10" t="s">
        <v>147</v>
      </c>
      <c r="G8" s="10" t="s">
        <v>148</v>
      </c>
      <c r="H8" s="9" t="s">
        <v>62</v>
      </c>
      <c r="I8" s="9" t="s">
        <v>18</v>
      </c>
      <c r="J8" s="10"/>
      <c r="K8" s="10" t="s">
        <v>81</v>
      </c>
      <c r="L8" s="9">
        <v>6.0</v>
      </c>
      <c r="M8" s="9"/>
      <c r="N8" s="10"/>
    </row>
    <row r="9" ht="30.0" customHeight="1">
      <c r="A9" s="9">
        <v>6.0</v>
      </c>
      <c r="B9" s="10" t="s">
        <v>67</v>
      </c>
      <c r="C9" s="9" t="s">
        <v>68</v>
      </c>
      <c r="D9" s="10" t="s">
        <v>106</v>
      </c>
      <c r="E9" s="10" t="s">
        <v>155</v>
      </c>
      <c r="F9" s="10" t="s">
        <v>156</v>
      </c>
      <c r="G9" s="10" t="s">
        <v>157</v>
      </c>
      <c r="H9" s="9" t="s">
        <v>62</v>
      </c>
      <c r="I9" s="9" t="s">
        <v>18</v>
      </c>
      <c r="J9" s="10"/>
      <c r="K9" s="10" t="s">
        <v>81</v>
      </c>
      <c r="L9" s="9">
        <v>8.0</v>
      </c>
      <c r="M9" s="9"/>
      <c r="N9" s="10"/>
    </row>
    <row r="10" ht="30.0" customHeight="1">
      <c r="A10" s="9">
        <v>7.0</v>
      </c>
      <c r="B10" s="10" t="s">
        <v>73</v>
      </c>
      <c r="C10" s="9" t="s">
        <v>74</v>
      </c>
      <c r="D10" s="10" t="s">
        <v>159</v>
      </c>
      <c r="E10" s="10" t="s">
        <v>161</v>
      </c>
      <c r="F10" s="10" t="s">
        <v>164</v>
      </c>
      <c r="G10" s="10" t="s">
        <v>157</v>
      </c>
      <c r="H10" s="9" t="s">
        <v>62</v>
      </c>
      <c r="I10" s="9" t="s">
        <v>18</v>
      </c>
      <c r="J10" s="10"/>
      <c r="K10" s="10" t="s">
        <v>81</v>
      </c>
      <c r="L10" s="9">
        <v>6.0</v>
      </c>
      <c r="M10" s="9"/>
      <c r="N10" s="10"/>
    </row>
    <row r="11" ht="30.0" customHeight="1">
      <c r="A11" s="9">
        <v>8.0</v>
      </c>
      <c r="B11" s="10" t="s">
        <v>79</v>
      </c>
      <c r="C11" s="9" t="s">
        <v>80</v>
      </c>
      <c r="D11" s="10" t="s">
        <v>167</v>
      </c>
      <c r="E11" s="10" t="s">
        <v>168</v>
      </c>
      <c r="F11" s="10" t="s">
        <v>169</v>
      </c>
      <c r="G11" s="10" t="s">
        <v>171</v>
      </c>
      <c r="H11" s="9" t="s">
        <v>40</v>
      </c>
      <c r="I11" s="9" t="s">
        <v>18</v>
      </c>
      <c r="J11" s="10"/>
      <c r="K11" s="10" t="s">
        <v>106</v>
      </c>
      <c r="L11" s="9">
        <v>6.0</v>
      </c>
      <c r="M11" s="9"/>
      <c r="N11" s="10"/>
    </row>
    <row r="12" ht="30.0" customHeight="1">
      <c r="A12" s="9">
        <v>9.0</v>
      </c>
      <c r="B12" s="10" t="s">
        <v>92</v>
      </c>
      <c r="C12" s="9" t="s">
        <v>93</v>
      </c>
      <c r="D12" s="10" t="s">
        <v>123</v>
      </c>
      <c r="E12" s="10" t="s">
        <v>175</v>
      </c>
      <c r="F12" s="10" t="s">
        <v>176</v>
      </c>
      <c r="G12" s="10" t="s">
        <v>157</v>
      </c>
      <c r="H12" s="9" t="s">
        <v>62</v>
      </c>
      <c r="I12" s="9" t="s">
        <v>18</v>
      </c>
      <c r="J12" s="10"/>
      <c r="K12" s="10" t="s">
        <v>81</v>
      </c>
      <c r="L12" s="9">
        <v>8.0</v>
      </c>
      <c r="M12" s="9"/>
      <c r="N12" s="10"/>
    </row>
    <row r="13" ht="30.0" customHeight="1">
      <c r="A13" s="9">
        <v>10.0</v>
      </c>
      <c r="B13" s="10" t="s">
        <v>92</v>
      </c>
      <c r="C13" s="9" t="s">
        <v>93</v>
      </c>
      <c r="D13" s="10" t="s">
        <v>160</v>
      </c>
      <c r="E13" s="10" t="s">
        <v>179</v>
      </c>
      <c r="F13" s="10" t="s">
        <v>184</v>
      </c>
      <c r="G13" s="10" t="s">
        <v>185</v>
      </c>
      <c r="H13" s="9" t="s">
        <v>62</v>
      </c>
      <c r="I13" s="9" t="s">
        <v>18</v>
      </c>
      <c r="J13" s="10"/>
      <c r="K13" s="10" t="s">
        <v>123</v>
      </c>
      <c r="L13" s="9">
        <v>4.0</v>
      </c>
      <c r="M13" s="9"/>
      <c r="N13" s="10"/>
    </row>
    <row r="14" ht="30.0" customHeight="1">
      <c r="A14" s="9">
        <v>11.0</v>
      </c>
      <c r="B14" s="10" t="s">
        <v>124</v>
      </c>
      <c r="C14" s="9" t="s">
        <v>126</v>
      </c>
      <c r="D14" s="10" t="s">
        <v>177</v>
      </c>
      <c r="E14" s="10" t="s">
        <v>192</v>
      </c>
      <c r="F14" s="10" t="s">
        <v>195</v>
      </c>
      <c r="G14" s="10" t="s">
        <v>157</v>
      </c>
      <c r="H14" s="9" t="s">
        <v>40</v>
      </c>
      <c r="I14" s="9" t="s">
        <v>18</v>
      </c>
      <c r="J14" s="10"/>
      <c r="K14" s="10" t="s">
        <v>123</v>
      </c>
      <c r="L14" s="9">
        <v>6.0</v>
      </c>
      <c r="M14" s="9"/>
      <c r="N14" s="10"/>
    </row>
    <row r="15" ht="30.0" customHeight="1">
      <c r="A15" s="9">
        <v>12.0</v>
      </c>
      <c r="B15" s="10" t="s">
        <v>137</v>
      </c>
      <c r="C15" s="9" t="s">
        <v>138</v>
      </c>
      <c r="D15" s="10" t="s">
        <v>202</v>
      </c>
      <c r="E15" s="10" t="s">
        <v>203</v>
      </c>
      <c r="F15" s="10" t="s">
        <v>204</v>
      </c>
      <c r="G15" s="10" t="s">
        <v>206</v>
      </c>
      <c r="H15" s="9" t="s">
        <v>40</v>
      </c>
      <c r="I15" s="9" t="s">
        <v>18</v>
      </c>
      <c r="J15" s="10"/>
      <c r="K15" s="10" t="s">
        <v>123</v>
      </c>
      <c r="L15" s="9">
        <v>4.0</v>
      </c>
      <c r="M15" s="9"/>
      <c r="N15" s="10"/>
    </row>
    <row r="16" ht="30.0" customHeight="1">
      <c r="A16" s="9">
        <v>13.0</v>
      </c>
      <c r="B16" s="10" t="s">
        <v>149</v>
      </c>
      <c r="C16" s="9" t="s">
        <v>150</v>
      </c>
      <c r="D16" s="10" t="s">
        <v>215</v>
      </c>
      <c r="E16" s="10" t="s">
        <v>217</v>
      </c>
      <c r="F16" s="10" t="s">
        <v>218</v>
      </c>
      <c r="G16" s="10" t="s">
        <v>219</v>
      </c>
      <c r="H16" s="9" t="s">
        <v>62</v>
      </c>
      <c r="I16" s="9" t="s">
        <v>18</v>
      </c>
      <c r="J16" s="10"/>
      <c r="K16" s="10" t="s">
        <v>123</v>
      </c>
      <c r="L16" s="9">
        <v>8.0</v>
      </c>
      <c r="M16" s="9"/>
      <c r="N16" s="10"/>
    </row>
    <row r="17" ht="30.0" customHeight="1">
      <c r="A17" s="9">
        <v>14.0</v>
      </c>
      <c r="B17" s="10" t="s">
        <v>182</v>
      </c>
      <c r="C17" s="9" t="s">
        <v>183</v>
      </c>
      <c r="D17" s="10" t="s">
        <v>224</v>
      </c>
      <c r="E17" s="10" t="s">
        <v>225</v>
      </c>
      <c r="F17" s="10" t="s">
        <v>226</v>
      </c>
      <c r="G17" s="10" t="s">
        <v>227</v>
      </c>
      <c r="H17" s="9" t="s">
        <v>61</v>
      </c>
      <c r="I17" s="9" t="s">
        <v>18</v>
      </c>
      <c r="J17" s="10"/>
      <c r="K17" s="10" t="s">
        <v>123</v>
      </c>
      <c r="L17" s="9">
        <v>6.0</v>
      </c>
      <c r="M17" s="9"/>
      <c r="N17" s="10"/>
    </row>
    <row r="18" ht="30.0" customHeight="1">
      <c r="A18" s="9">
        <v>15.0</v>
      </c>
      <c r="B18" s="10" t="s">
        <v>193</v>
      </c>
      <c r="C18" s="9" t="s">
        <v>196</v>
      </c>
      <c r="D18" s="10" t="s">
        <v>229</v>
      </c>
      <c r="E18" s="10" t="s">
        <v>230</v>
      </c>
      <c r="F18" s="10" t="s">
        <v>232</v>
      </c>
      <c r="G18" s="10" t="s">
        <v>157</v>
      </c>
      <c r="H18" s="9" t="s">
        <v>40</v>
      </c>
      <c r="I18" s="9" t="s">
        <v>18</v>
      </c>
      <c r="J18" s="10"/>
      <c r="K18" s="10" t="s">
        <v>81</v>
      </c>
      <c r="L18" s="9">
        <v>6.0</v>
      </c>
      <c r="M18" s="9"/>
      <c r="N18" s="10"/>
    </row>
    <row r="19" ht="30.0" customHeight="1">
      <c r="A19" s="9">
        <v>16.0</v>
      </c>
      <c r="B19" s="10" t="s">
        <v>209</v>
      </c>
      <c r="C19" s="9" t="s">
        <v>211</v>
      </c>
      <c r="D19" s="10" t="s">
        <v>238</v>
      </c>
      <c r="E19" s="10" t="s">
        <v>239</v>
      </c>
      <c r="F19" s="10" t="s">
        <v>240</v>
      </c>
      <c r="G19" s="10" t="s">
        <v>241</v>
      </c>
      <c r="H19" s="9" t="s">
        <v>62</v>
      </c>
      <c r="I19" s="9" t="s">
        <v>18</v>
      </c>
      <c r="J19" s="10"/>
      <c r="K19" s="10" t="s">
        <v>229</v>
      </c>
      <c r="L19" s="9">
        <v>8.0</v>
      </c>
      <c r="M19" s="9"/>
      <c r="N19" s="10"/>
    </row>
    <row r="21" ht="15.75" customHeight="1">
      <c r="A21" s="14" t="str">
        <f>"TOTAL TASKS: "&amp;COUNTA(D4:D19)&amp;"   |   Est. Hours:"</f>
        <v>TOTAL TASKS: 16   |   Est. Hours:</v>
      </c>
      <c r="L21" s="14">
        <f>SUM(L4:L19)</f>
        <v>101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N1"/>
    <mergeCell ref="A2:N2"/>
  </mergeCells>
  <dataValidations>
    <dataValidation type="list" allowBlank="1" showErrorMessage="1" sqref="H4:H19">
      <formula1>"Critical,High,Medium"</formula1>
    </dataValidation>
    <dataValidation type="list" allowBlank="1" showErrorMessage="1" sqref="I4:I19">
      <formula1>"Pending,Completed,Hold,Blocked,Not Started"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4.0"/>
    <col customWidth="1" min="2" max="2" width="10.0"/>
    <col customWidth="1" min="3" max="3" width="7.0"/>
    <col customWidth="1" min="4" max="4" width="10.0"/>
    <col customWidth="1" min="5" max="5" width="26.0"/>
    <col customWidth="1" min="6" max="6" width="46.0"/>
    <col customWidth="1" min="7" max="7" width="26.0"/>
    <col customWidth="1" min="8" max="8" width="13.29"/>
    <col customWidth="1" min="9" max="9" width="17.43"/>
    <col customWidth="1" min="10" max="10" width="16.0"/>
    <col customWidth="1" min="11" max="11" width="12.0"/>
    <col customWidth="1" min="12" max="13" width="10.0"/>
    <col customWidth="1" min="14" max="14" width="20.0"/>
    <col customWidth="1" min="15" max="26" width="8.71"/>
  </cols>
  <sheetData>
    <row r="1" ht="21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4"/>
    </row>
    <row r="2" ht="15.75" customHeight="1">
      <c r="A2" s="5" t="s">
        <v>8</v>
      </c>
    </row>
    <row r="3">
      <c r="A3" s="7" t="s">
        <v>6</v>
      </c>
      <c r="B3" s="7" t="s">
        <v>10</v>
      </c>
      <c r="C3" s="7" t="s">
        <v>12</v>
      </c>
      <c r="D3" s="7" t="s">
        <v>14</v>
      </c>
      <c r="E3" s="7" t="s">
        <v>15</v>
      </c>
      <c r="F3" s="7" t="s">
        <v>17</v>
      </c>
      <c r="G3" s="7" t="s">
        <v>19</v>
      </c>
      <c r="H3" s="7" t="s">
        <v>22</v>
      </c>
      <c r="I3" s="7" t="s">
        <v>24</v>
      </c>
      <c r="J3" s="7" t="s">
        <v>25</v>
      </c>
      <c r="K3" s="7" t="s">
        <v>28</v>
      </c>
      <c r="L3" s="7" t="s">
        <v>29</v>
      </c>
      <c r="M3" s="7" t="s">
        <v>30</v>
      </c>
      <c r="N3" s="7" t="s">
        <v>31</v>
      </c>
    </row>
    <row r="4" ht="30.0" customHeight="1">
      <c r="A4" s="9">
        <v>1.0</v>
      </c>
      <c r="B4" s="10" t="s">
        <v>33</v>
      </c>
      <c r="C4" s="9" t="s">
        <v>35</v>
      </c>
      <c r="D4" s="10" t="s">
        <v>45</v>
      </c>
      <c r="E4" s="10" t="s">
        <v>48</v>
      </c>
      <c r="F4" s="10" t="s">
        <v>50</v>
      </c>
      <c r="G4" s="10" t="s">
        <v>54</v>
      </c>
      <c r="H4" s="9" t="s">
        <v>62</v>
      </c>
      <c r="I4" s="9" t="s">
        <v>18</v>
      </c>
      <c r="J4" s="10"/>
      <c r="K4" s="10" t="s">
        <v>47</v>
      </c>
      <c r="L4" s="9">
        <v>3.0</v>
      </c>
      <c r="M4" s="9"/>
      <c r="N4" s="10"/>
    </row>
    <row r="5" ht="30.0" customHeight="1">
      <c r="A5" s="9">
        <v>2.0</v>
      </c>
      <c r="B5" s="10" t="s">
        <v>55</v>
      </c>
      <c r="C5" s="9" t="s">
        <v>56</v>
      </c>
      <c r="D5" s="10" t="s">
        <v>82</v>
      </c>
      <c r="E5" s="10" t="s">
        <v>84</v>
      </c>
      <c r="F5" s="10" t="s">
        <v>86</v>
      </c>
      <c r="G5" s="10" t="s">
        <v>89</v>
      </c>
      <c r="H5" s="9" t="s">
        <v>62</v>
      </c>
      <c r="I5" s="9" t="s">
        <v>18</v>
      </c>
      <c r="J5" s="10"/>
      <c r="K5" s="10" t="s">
        <v>91</v>
      </c>
      <c r="L5" s="9">
        <v>8.0</v>
      </c>
      <c r="M5" s="9"/>
      <c r="N5" s="10"/>
    </row>
    <row r="6" ht="30.0" customHeight="1">
      <c r="A6" s="9">
        <v>3.0</v>
      </c>
      <c r="B6" s="10" t="s">
        <v>67</v>
      </c>
      <c r="C6" s="9" t="s">
        <v>68</v>
      </c>
      <c r="D6" s="10" t="s">
        <v>99</v>
      </c>
      <c r="E6" s="10" t="s">
        <v>101</v>
      </c>
      <c r="F6" s="10" t="s">
        <v>102</v>
      </c>
      <c r="G6" s="10" t="s">
        <v>103</v>
      </c>
      <c r="H6" s="9" t="s">
        <v>62</v>
      </c>
      <c r="I6" s="9" t="s">
        <v>18</v>
      </c>
      <c r="J6" s="10"/>
      <c r="K6" s="10" t="s">
        <v>106</v>
      </c>
      <c r="L6" s="9">
        <v>6.0</v>
      </c>
      <c r="M6" s="9"/>
      <c r="N6" s="10"/>
    </row>
    <row r="7" ht="51.0" customHeight="1">
      <c r="A7" s="9">
        <v>4.0</v>
      </c>
      <c r="B7" s="10" t="s">
        <v>92</v>
      </c>
      <c r="C7" s="9" t="s">
        <v>93</v>
      </c>
      <c r="D7" s="10" t="s">
        <v>111</v>
      </c>
      <c r="E7" s="10" t="s">
        <v>113</v>
      </c>
      <c r="F7" s="10" t="s">
        <v>115</v>
      </c>
      <c r="G7" s="10" t="s">
        <v>118</v>
      </c>
      <c r="H7" s="9" t="s">
        <v>62</v>
      </c>
      <c r="I7" s="9" t="s">
        <v>18</v>
      </c>
      <c r="J7" s="10"/>
      <c r="K7" s="10" t="s">
        <v>123</v>
      </c>
      <c r="L7" s="9">
        <v>12.0</v>
      </c>
      <c r="M7" s="9"/>
      <c r="N7" s="10"/>
    </row>
    <row r="8" ht="30.0" customHeight="1">
      <c r="A8" s="9">
        <v>5.0</v>
      </c>
      <c r="B8" s="10" t="s">
        <v>92</v>
      </c>
      <c r="C8" s="9" t="s">
        <v>93</v>
      </c>
      <c r="D8" s="10" t="s">
        <v>125</v>
      </c>
      <c r="E8" s="10" t="s">
        <v>127</v>
      </c>
      <c r="F8" s="10" t="s">
        <v>130</v>
      </c>
      <c r="G8" s="10" t="s">
        <v>103</v>
      </c>
      <c r="H8" s="9" t="s">
        <v>62</v>
      </c>
      <c r="I8" s="9" t="s">
        <v>18</v>
      </c>
      <c r="J8" s="10"/>
      <c r="K8" s="10" t="s">
        <v>123</v>
      </c>
      <c r="L8" s="9">
        <v>6.0</v>
      </c>
      <c r="M8" s="9"/>
      <c r="N8" s="10"/>
    </row>
    <row r="9" ht="30.0" customHeight="1">
      <c r="A9" s="9">
        <v>6.0</v>
      </c>
      <c r="B9" s="10" t="s">
        <v>92</v>
      </c>
      <c r="C9" s="9" t="s">
        <v>93</v>
      </c>
      <c r="D9" s="10" t="s">
        <v>139</v>
      </c>
      <c r="E9" s="10" t="s">
        <v>142</v>
      </c>
      <c r="F9" s="10" t="s">
        <v>144</v>
      </c>
      <c r="G9" s="10" t="s">
        <v>103</v>
      </c>
      <c r="H9" s="9" t="s">
        <v>62</v>
      </c>
      <c r="I9" s="9" t="s">
        <v>18</v>
      </c>
      <c r="J9" s="10"/>
      <c r="K9" s="10" t="s">
        <v>111</v>
      </c>
      <c r="L9" s="9">
        <v>8.0</v>
      </c>
      <c r="M9" s="9"/>
      <c r="N9" s="10"/>
    </row>
    <row r="10" ht="30.0" customHeight="1">
      <c r="A10" s="9">
        <v>7.0</v>
      </c>
      <c r="B10" s="10" t="s">
        <v>92</v>
      </c>
      <c r="C10" s="9" t="s">
        <v>93</v>
      </c>
      <c r="D10" s="10" t="s">
        <v>152</v>
      </c>
      <c r="E10" s="10" t="s">
        <v>153</v>
      </c>
      <c r="F10" s="10" t="s">
        <v>154</v>
      </c>
      <c r="G10" s="10" t="s">
        <v>103</v>
      </c>
      <c r="H10" s="9" t="s">
        <v>62</v>
      </c>
      <c r="I10" s="9" t="s">
        <v>18</v>
      </c>
      <c r="J10" s="10"/>
      <c r="K10" s="10" t="s">
        <v>160</v>
      </c>
      <c r="L10" s="9">
        <v>10.0</v>
      </c>
      <c r="M10" s="9"/>
      <c r="N10" s="10"/>
    </row>
    <row r="11" ht="30.0" customHeight="1">
      <c r="A11" s="9">
        <v>8.0</v>
      </c>
      <c r="B11" s="10" t="s">
        <v>124</v>
      </c>
      <c r="C11" s="9" t="s">
        <v>126</v>
      </c>
      <c r="D11" s="10" t="s">
        <v>170</v>
      </c>
      <c r="E11" s="10" t="s">
        <v>172</v>
      </c>
      <c r="F11" s="10" t="s">
        <v>173</v>
      </c>
      <c r="G11" s="10" t="s">
        <v>174</v>
      </c>
      <c r="H11" s="9" t="s">
        <v>62</v>
      </c>
      <c r="I11" s="9" t="s">
        <v>18</v>
      </c>
      <c r="J11" s="10"/>
      <c r="K11" s="10" t="s">
        <v>177</v>
      </c>
      <c r="L11" s="9">
        <v>6.0</v>
      </c>
      <c r="M11" s="9"/>
      <c r="N11" s="10"/>
    </row>
    <row r="12" ht="30.0" customHeight="1">
      <c r="A12" s="9">
        <v>9.0</v>
      </c>
      <c r="B12" s="10" t="s">
        <v>124</v>
      </c>
      <c r="C12" s="9" t="s">
        <v>126</v>
      </c>
      <c r="D12" s="10" t="s">
        <v>178</v>
      </c>
      <c r="E12" s="10" t="s">
        <v>180</v>
      </c>
      <c r="F12" s="10" t="s">
        <v>181</v>
      </c>
      <c r="G12" s="10" t="s">
        <v>103</v>
      </c>
      <c r="H12" s="9" t="s">
        <v>62</v>
      </c>
      <c r="I12" s="9" t="s">
        <v>18</v>
      </c>
      <c r="J12" s="10"/>
      <c r="K12" s="10" t="s">
        <v>152</v>
      </c>
      <c r="L12" s="9">
        <v>6.0</v>
      </c>
      <c r="M12" s="9"/>
      <c r="N12" s="10"/>
    </row>
    <row r="13" ht="30.0" customHeight="1">
      <c r="A13" s="9">
        <v>10.0</v>
      </c>
      <c r="B13" s="10" t="s">
        <v>137</v>
      </c>
      <c r="C13" s="9" t="s">
        <v>138</v>
      </c>
      <c r="D13" s="10" t="s">
        <v>190</v>
      </c>
      <c r="E13" s="10" t="s">
        <v>191</v>
      </c>
      <c r="F13" s="10" t="s">
        <v>194</v>
      </c>
      <c r="G13" s="10" t="s">
        <v>197</v>
      </c>
      <c r="H13" s="9" t="s">
        <v>62</v>
      </c>
      <c r="I13" s="9" t="s">
        <v>18</v>
      </c>
      <c r="J13" s="10"/>
      <c r="K13" s="10" t="s">
        <v>170</v>
      </c>
      <c r="L13" s="9">
        <v>6.0</v>
      </c>
      <c r="M13" s="9"/>
      <c r="N13" s="10"/>
    </row>
    <row r="14" ht="30.0" customHeight="1">
      <c r="A14" s="9">
        <v>11.0</v>
      </c>
      <c r="B14" s="10" t="s">
        <v>149</v>
      </c>
      <c r="C14" s="9" t="s">
        <v>150</v>
      </c>
      <c r="D14" s="10" t="s">
        <v>205</v>
      </c>
      <c r="E14" s="10" t="s">
        <v>207</v>
      </c>
      <c r="F14" s="10" t="s">
        <v>208</v>
      </c>
      <c r="G14" s="10" t="s">
        <v>210</v>
      </c>
      <c r="H14" s="9" t="s">
        <v>62</v>
      </c>
      <c r="I14" s="9" t="s">
        <v>18</v>
      </c>
      <c r="J14" s="10"/>
      <c r="K14" s="10" t="s">
        <v>215</v>
      </c>
      <c r="L14" s="9">
        <v>14.0</v>
      </c>
      <c r="M14" s="9"/>
      <c r="N14" s="10"/>
    </row>
    <row r="15" ht="30.0" customHeight="1">
      <c r="A15" s="9">
        <v>12.0</v>
      </c>
      <c r="B15" s="10" t="s">
        <v>149</v>
      </c>
      <c r="C15" s="9" t="s">
        <v>150</v>
      </c>
      <c r="D15" s="10" t="s">
        <v>220</v>
      </c>
      <c r="E15" s="10" t="s">
        <v>221</v>
      </c>
      <c r="F15" s="10" t="s">
        <v>222</v>
      </c>
      <c r="G15" s="10" t="s">
        <v>223</v>
      </c>
      <c r="H15" s="9" t="s">
        <v>62</v>
      </c>
      <c r="I15" s="9" t="s">
        <v>18</v>
      </c>
      <c r="J15" s="10"/>
      <c r="K15" s="10" t="s">
        <v>152</v>
      </c>
      <c r="L15" s="9">
        <v>6.0</v>
      </c>
      <c r="M15" s="9"/>
      <c r="N15" s="10"/>
    </row>
    <row r="16" ht="30.0" customHeight="1">
      <c r="A16" s="9">
        <v>13.0</v>
      </c>
      <c r="B16" s="10" t="s">
        <v>182</v>
      </c>
      <c r="C16" s="9" t="s">
        <v>183</v>
      </c>
      <c r="D16" s="10" t="s">
        <v>228</v>
      </c>
      <c r="E16" s="10" t="s">
        <v>231</v>
      </c>
      <c r="F16" s="10" t="s">
        <v>234</v>
      </c>
      <c r="G16" s="10" t="s">
        <v>236</v>
      </c>
      <c r="H16" s="9" t="s">
        <v>62</v>
      </c>
      <c r="I16" s="9" t="s">
        <v>18</v>
      </c>
      <c r="J16" s="10"/>
      <c r="K16" s="10" t="s">
        <v>224</v>
      </c>
      <c r="L16" s="9">
        <v>8.0</v>
      </c>
      <c r="M16" s="9"/>
      <c r="N16" s="10"/>
    </row>
    <row r="17" ht="30.0" customHeight="1">
      <c r="A17" s="9">
        <v>14.0</v>
      </c>
      <c r="B17" s="10" t="s">
        <v>193</v>
      </c>
      <c r="C17" s="9" t="s">
        <v>196</v>
      </c>
      <c r="D17" s="10" t="s">
        <v>242</v>
      </c>
      <c r="E17" s="10" t="s">
        <v>243</v>
      </c>
      <c r="F17" s="10" t="s">
        <v>244</v>
      </c>
      <c r="G17" s="10" t="s">
        <v>245</v>
      </c>
      <c r="H17" s="9" t="s">
        <v>62</v>
      </c>
      <c r="I17" s="9" t="s">
        <v>18</v>
      </c>
      <c r="J17" s="10"/>
      <c r="K17" s="10" t="s">
        <v>229</v>
      </c>
      <c r="L17" s="9">
        <v>8.0</v>
      </c>
      <c r="M17" s="9"/>
      <c r="N17" s="10"/>
    </row>
    <row r="18" ht="30.0" customHeight="1">
      <c r="A18" s="9">
        <v>15.0</v>
      </c>
      <c r="B18" s="10" t="s">
        <v>209</v>
      </c>
      <c r="C18" s="9" t="s">
        <v>211</v>
      </c>
      <c r="D18" s="10" t="s">
        <v>246</v>
      </c>
      <c r="E18" s="10" t="s">
        <v>247</v>
      </c>
      <c r="F18" s="10" t="s">
        <v>248</v>
      </c>
      <c r="G18" s="10" t="s">
        <v>249</v>
      </c>
      <c r="H18" s="9" t="s">
        <v>62</v>
      </c>
      <c r="I18" s="9" t="s">
        <v>18</v>
      </c>
      <c r="J18" s="10"/>
      <c r="K18" s="10" t="s">
        <v>205</v>
      </c>
      <c r="L18" s="9">
        <v>8.0</v>
      </c>
      <c r="M18" s="9"/>
      <c r="N18" s="10"/>
    </row>
    <row r="19" ht="30.0" customHeight="1">
      <c r="A19" s="9">
        <v>16.0</v>
      </c>
      <c r="B19" s="10" t="s">
        <v>209</v>
      </c>
      <c r="C19" s="9" t="s">
        <v>211</v>
      </c>
      <c r="D19" s="10" t="s">
        <v>250</v>
      </c>
      <c r="E19" s="10" t="s">
        <v>251</v>
      </c>
      <c r="F19" s="10" t="s">
        <v>252</v>
      </c>
      <c r="G19" s="10" t="s">
        <v>253</v>
      </c>
      <c r="H19" s="9" t="s">
        <v>62</v>
      </c>
      <c r="I19" s="9" t="s">
        <v>18</v>
      </c>
      <c r="J19" s="10"/>
      <c r="K19" s="10" t="s">
        <v>111</v>
      </c>
      <c r="L19" s="9">
        <v>4.0</v>
      </c>
      <c r="M19" s="9"/>
      <c r="N19" s="10"/>
    </row>
    <row r="21" ht="15.75" customHeight="1">
      <c r="A21" s="14" t="str">
        <f>"TOTAL TASKS: "&amp;COUNTA(D4:D19)&amp;"   |   Est. Hours:"</f>
        <v>TOTAL TASKS: 16   |   Est. Hours:</v>
      </c>
      <c r="L21" s="14">
        <f>SUM(L4:L19)</f>
        <v>119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N1"/>
    <mergeCell ref="A2:N2"/>
  </mergeCells>
  <dataValidations>
    <dataValidation type="list" allowBlank="1" showErrorMessage="1" sqref="H4:H19">
      <formula1>"Critical,High,Medium"</formula1>
    </dataValidation>
    <dataValidation type="list" allowBlank="1" showErrorMessage="1" sqref="I4:I19">
      <formula1>"Pending,Completed,Hold,Blocked,Not Started"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4.0"/>
    <col customWidth="1" min="2" max="2" width="10.0"/>
    <col customWidth="1" min="3" max="3" width="7.0"/>
    <col customWidth="1" min="4" max="4" width="10.0"/>
    <col customWidth="1" min="5" max="5" width="26.0"/>
    <col customWidth="1" min="6" max="6" width="46.0"/>
    <col customWidth="1" min="7" max="7" width="26.0"/>
    <col customWidth="1" min="8" max="8" width="14.29"/>
    <col customWidth="1" min="9" max="9" width="17.43"/>
    <col customWidth="1" min="10" max="10" width="16.0"/>
    <col customWidth="1" min="11" max="11" width="12.0"/>
    <col customWidth="1" min="12" max="13" width="10.0"/>
    <col customWidth="1" min="14" max="14" width="20.0"/>
    <col customWidth="1" min="15" max="26" width="8.71"/>
  </cols>
  <sheetData>
    <row r="1" ht="21.75" customHeight="1">
      <c r="A1" s="1" t="s">
        <v>295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4"/>
    </row>
    <row r="2" ht="15.75" customHeight="1">
      <c r="A2" s="5" t="s">
        <v>235</v>
      </c>
    </row>
    <row r="3">
      <c r="A3" s="7" t="s">
        <v>6</v>
      </c>
      <c r="B3" s="7" t="s">
        <v>10</v>
      </c>
      <c r="C3" s="7" t="s">
        <v>12</v>
      </c>
      <c r="D3" s="7" t="s">
        <v>14</v>
      </c>
      <c r="E3" s="7" t="s">
        <v>15</v>
      </c>
      <c r="F3" s="7" t="s">
        <v>17</v>
      </c>
      <c r="G3" s="7" t="s">
        <v>19</v>
      </c>
      <c r="H3" s="7" t="s">
        <v>22</v>
      </c>
      <c r="I3" s="7" t="s">
        <v>24</v>
      </c>
      <c r="J3" s="7" t="s">
        <v>25</v>
      </c>
      <c r="K3" s="7" t="s">
        <v>28</v>
      </c>
      <c r="L3" s="7" t="s">
        <v>29</v>
      </c>
      <c r="M3" s="7" t="s">
        <v>30</v>
      </c>
      <c r="N3" s="7" t="s">
        <v>31</v>
      </c>
    </row>
    <row r="4" ht="30.0" customHeight="1">
      <c r="A4" s="9">
        <v>1.0</v>
      </c>
      <c r="B4" s="10" t="s">
        <v>33</v>
      </c>
      <c r="C4" s="9" t="s">
        <v>35</v>
      </c>
      <c r="D4" s="10" t="s">
        <v>296</v>
      </c>
      <c r="E4" s="10" t="s">
        <v>297</v>
      </c>
      <c r="F4" s="10" t="s">
        <v>298</v>
      </c>
      <c r="G4" s="10" t="s">
        <v>299</v>
      </c>
      <c r="H4" s="9" t="s">
        <v>62</v>
      </c>
      <c r="I4" s="11" t="s">
        <v>18</v>
      </c>
      <c r="J4" s="10"/>
      <c r="K4" s="10" t="s">
        <v>36</v>
      </c>
      <c r="L4" s="9">
        <v>6.0</v>
      </c>
      <c r="M4" s="9"/>
      <c r="N4" s="10"/>
    </row>
    <row r="5" ht="30.0" customHeight="1">
      <c r="A5" s="9">
        <v>2.0</v>
      </c>
      <c r="B5" s="10" t="s">
        <v>33</v>
      </c>
      <c r="C5" s="9" t="s">
        <v>35</v>
      </c>
      <c r="D5" s="10" t="s">
        <v>300</v>
      </c>
      <c r="E5" s="10" t="s">
        <v>301</v>
      </c>
      <c r="F5" s="10" t="s">
        <v>302</v>
      </c>
      <c r="G5" s="10" t="s">
        <v>303</v>
      </c>
      <c r="H5" s="9" t="s">
        <v>62</v>
      </c>
      <c r="I5" s="11" t="s">
        <v>18</v>
      </c>
      <c r="J5" s="10"/>
      <c r="K5" s="10" t="s">
        <v>81</v>
      </c>
      <c r="L5" s="9">
        <v>3.0</v>
      </c>
      <c r="M5" s="9"/>
      <c r="N5" s="10"/>
    </row>
    <row r="6" ht="30.0" customHeight="1">
      <c r="A6" s="9">
        <v>3.0</v>
      </c>
      <c r="B6" s="10" t="s">
        <v>55</v>
      </c>
      <c r="C6" s="9" t="s">
        <v>56</v>
      </c>
      <c r="D6" s="10" t="s">
        <v>304</v>
      </c>
      <c r="E6" s="10" t="s">
        <v>305</v>
      </c>
      <c r="F6" s="10" t="s">
        <v>306</v>
      </c>
      <c r="G6" s="10" t="s">
        <v>307</v>
      </c>
      <c r="H6" s="9" t="s">
        <v>62</v>
      </c>
      <c r="I6" s="11" t="s">
        <v>18</v>
      </c>
      <c r="J6" s="10"/>
      <c r="K6" s="10" t="s">
        <v>82</v>
      </c>
      <c r="L6" s="9">
        <v>10.0</v>
      </c>
      <c r="M6" s="9"/>
      <c r="N6" s="10"/>
    </row>
    <row r="7" ht="30.0" customHeight="1">
      <c r="A7" s="9">
        <v>4.0</v>
      </c>
      <c r="B7" s="10" t="s">
        <v>67</v>
      </c>
      <c r="C7" s="9" t="s">
        <v>68</v>
      </c>
      <c r="D7" s="10" t="s">
        <v>308</v>
      </c>
      <c r="E7" s="10" t="s">
        <v>310</v>
      </c>
      <c r="F7" s="10" t="s">
        <v>311</v>
      </c>
      <c r="G7" s="10" t="s">
        <v>312</v>
      </c>
      <c r="H7" s="9" t="s">
        <v>62</v>
      </c>
      <c r="I7" s="11" t="s">
        <v>18</v>
      </c>
      <c r="J7" s="10"/>
      <c r="K7" s="10" t="s">
        <v>63</v>
      </c>
      <c r="L7" s="9">
        <v>16.0</v>
      </c>
      <c r="M7" s="9"/>
      <c r="N7" s="10"/>
    </row>
    <row r="8" ht="30.0" customHeight="1">
      <c r="A8" s="9">
        <v>5.0</v>
      </c>
      <c r="B8" s="10" t="s">
        <v>73</v>
      </c>
      <c r="C8" s="9" t="s">
        <v>74</v>
      </c>
      <c r="D8" s="10" t="s">
        <v>313</v>
      </c>
      <c r="E8" s="10" t="s">
        <v>314</v>
      </c>
      <c r="F8" s="10" t="s">
        <v>315</v>
      </c>
      <c r="G8" s="10" t="s">
        <v>316</v>
      </c>
      <c r="H8" s="9" t="s">
        <v>62</v>
      </c>
      <c r="I8" s="9" t="s">
        <v>18</v>
      </c>
      <c r="J8" s="10"/>
      <c r="K8" s="10" t="s">
        <v>75</v>
      </c>
      <c r="L8" s="9">
        <v>16.0</v>
      </c>
      <c r="M8" s="9"/>
      <c r="N8" s="10"/>
    </row>
    <row r="9" ht="30.0" customHeight="1">
      <c r="A9" s="9">
        <v>6.0</v>
      </c>
      <c r="B9" s="10" t="s">
        <v>79</v>
      </c>
      <c r="C9" s="9" t="s">
        <v>80</v>
      </c>
      <c r="D9" s="10" t="s">
        <v>317</v>
      </c>
      <c r="E9" s="10" t="s">
        <v>85</v>
      </c>
      <c r="F9" s="10" t="s">
        <v>318</v>
      </c>
      <c r="G9" s="10" t="s">
        <v>319</v>
      </c>
      <c r="H9" s="9" t="s">
        <v>62</v>
      </c>
      <c r="I9" s="9" t="s">
        <v>18</v>
      </c>
      <c r="J9" s="10"/>
      <c r="K9" s="10" t="s">
        <v>83</v>
      </c>
      <c r="L9" s="9">
        <v>14.0</v>
      </c>
      <c r="M9" s="9"/>
      <c r="N9" s="10"/>
    </row>
    <row r="10" ht="30.0" customHeight="1">
      <c r="A10" s="9">
        <v>7.0</v>
      </c>
      <c r="B10" s="10" t="s">
        <v>92</v>
      </c>
      <c r="C10" s="9" t="s">
        <v>93</v>
      </c>
      <c r="D10" s="10" t="s">
        <v>321</v>
      </c>
      <c r="E10" s="10" t="s">
        <v>322</v>
      </c>
      <c r="F10" s="10" t="s">
        <v>323</v>
      </c>
      <c r="G10" s="10" t="s">
        <v>324</v>
      </c>
      <c r="H10" s="9" t="s">
        <v>62</v>
      </c>
      <c r="I10" s="9" t="s">
        <v>18</v>
      </c>
      <c r="J10" s="10"/>
      <c r="K10" s="10" t="s">
        <v>94</v>
      </c>
      <c r="L10" s="9">
        <v>12.0</v>
      </c>
      <c r="M10" s="9"/>
      <c r="N10" s="10"/>
    </row>
    <row r="11" ht="30.0" customHeight="1">
      <c r="A11" s="9">
        <v>8.0</v>
      </c>
      <c r="B11" s="10" t="s">
        <v>92</v>
      </c>
      <c r="C11" s="9" t="s">
        <v>93</v>
      </c>
      <c r="D11" s="10" t="s">
        <v>326</v>
      </c>
      <c r="E11" s="10" t="s">
        <v>327</v>
      </c>
      <c r="F11" s="10" t="s">
        <v>328</v>
      </c>
      <c r="G11" s="10" t="s">
        <v>329</v>
      </c>
      <c r="H11" s="9" t="s">
        <v>62</v>
      </c>
      <c r="I11" s="9" t="s">
        <v>18</v>
      </c>
      <c r="J11" s="10"/>
      <c r="K11" s="10" t="s">
        <v>111</v>
      </c>
      <c r="L11" s="9">
        <v>10.0</v>
      </c>
      <c r="M11" s="9"/>
      <c r="N11" s="10"/>
    </row>
    <row r="12" ht="30.0" customHeight="1">
      <c r="A12" s="9">
        <v>9.0</v>
      </c>
      <c r="B12" s="10" t="s">
        <v>92</v>
      </c>
      <c r="C12" s="9" t="s">
        <v>93</v>
      </c>
      <c r="D12" s="10" t="s">
        <v>330</v>
      </c>
      <c r="E12" s="10" t="s">
        <v>331</v>
      </c>
      <c r="F12" s="10" t="s">
        <v>332</v>
      </c>
      <c r="G12" s="10" t="s">
        <v>333</v>
      </c>
      <c r="H12" s="9" t="s">
        <v>62</v>
      </c>
      <c r="I12" s="9" t="s">
        <v>18</v>
      </c>
      <c r="J12" s="10"/>
      <c r="K12" s="10" t="s">
        <v>125</v>
      </c>
      <c r="L12" s="9">
        <v>6.0</v>
      </c>
      <c r="M12" s="9"/>
      <c r="N12" s="10"/>
    </row>
    <row r="13" ht="30.0" customHeight="1">
      <c r="A13" s="9">
        <v>10.0</v>
      </c>
      <c r="B13" s="10" t="s">
        <v>92</v>
      </c>
      <c r="C13" s="9" t="s">
        <v>93</v>
      </c>
      <c r="D13" s="10" t="s">
        <v>335</v>
      </c>
      <c r="E13" s="10" t="s">
        <v>336</v>
      </c>
      <c r="F13" s="10" t="s">
        <v>337</v>
      </c>
      <c r="G13" s="10" t="s">
        <v>338</v>
      </c>
      <c r="H13" s="9" t="s">
        <v>62</v>
      </c>
      <c r="I13" s="9" t="s">
        <v>18</v>
      </c>
      <c r="J13" s="10"/>
      <c r="K13" s="10" t="s">
        <v>104</v>
      </c>
      <c r="L13" s="9">
        <v>8.0</v>
      </c>
      <c r="M13" s="9"/>
      <c r="N13" s="10"/>
    </row>
    <row r="14" ht="30.0" customHeight="1">
      <c r="A14" s="9">
        <v>11.0</v>
      </c>
      <c r="B14" s="10" t="s">
        <v>124</v>
      </c>
      <c r="C14" s="9" t="s">
        <v>126</v>
      </c>
      <c r="D14" s="10" t="s">
        <v>340</v>
      </c>
      <c r="E14" s="10" t="s">
        <v>341</v>
      </c>
      <c r="F14" s="10" t="s">
        <v>342</v>
      </c>
      <c r="G14" s="10" t="s">
        <v>343</v>
      </c>
      <c r="H14" s="9" t="s">
        <v>62</v>
      </c>
      <c r="I14" s="9" t="s">
        <v>18</v>
      </c>
      <c r="J14" s="10"/>
      <c r="K14" s="10" t="s">
        <v>129</v>
      </c>
      <c r="L14" s="9">
        <v>14.0</v>
      </c>
      <c r="M14" s="9"/>
      <c r="N14" s="10"/>
    </row>
    <row r="15" ht="30.0" customHeight="1">
      <c r="A15" s="9">
        <v>12.0</v>
      </c>
      <c r="B15" s="10" t="s">
        <v>124</v>
      </c>
      <c r="C15" s="9" t="s">
        <v>126</v>
      </c>
      <c r="D15" s="10" t="s">
        <v>344</v>
      </c>
      <c r="E15" s="10" t="s">
        <v>346</v>
      </c>
      <c r="F15" s="10" t="s">
        <v>347</v>
      </c>
      <c r="G15" s="10" t="s">
        <v>348</v>
      </c>
      <c r="H15" s="9" t="s">
        <v>40</v>
      </c>
      <c r="I15" s="9" t="s">
        <v>18</v>
      </c>
      <c r="J15" s="10"/>
      <c r="K15" s="10" t="s">
        <v>340</v>
      </c>
      <c r="L15" s="9">
        <v>6.0</v>
      </c>
      <c r="M15" s="9"/>
      <c r="N15" s="10"/>
    </row>
    <row r="16" ht="30.0" customHeight="1">
      <c r="A16" s="9">
        <v>13.0</v>
      </c>
      <c r="B16" s="10" t="s">
        <v>137</v>
      </c>
      <c r="C16" s="9" t="s">
        <v>138</v>
      </c>
      <c r="D16" s="10" t="s">
        <v>367</v>
      </c>
      <c r="E16" s="10" t="s">
        <v>368</v>
      </c>
      <c r="F16" s="10" t="s">
        <v>369</v>
      </c>
      <c r="G16" s="10" t="s">
        <v>370</v>
      </c>
      <c r="H16" s="9" t="s">
        <v>62</v>
      </c>
      <c r="I16" s="9" t="s">
        <v>18</v>
      </c>
      <c r="J16" s="10"/>
      <c r="K16" s="10" t="s">
        <v>140</v>
      </c>
      <c r="L16" s="9">
        <v>10.0</v>
      </c>
      <c r="M16" s="9"/>
      <c r="N16" s="10"/>
    </row>
    <row r="17" ht="30.0" customHeight="1">
      <c r="A17" s="9">
        <v>14.0</v>
      </c>
      <c r="B17" s="10" t="s">
        <v>137</v>
      </c>
      <c r="C17" s="9" t="s">
        <v>138</v>
      </c>
      <c r="D17" s="10" t="s">
        <v>377</v>
      </c>
      <c r="E17" s="10" t="s">
        <v>378</v>
      </c>
      <c r="F17" s="10" t="s">
        <v>380</v>
      </c>
      <c r="G17" s="10" t="s">
        <v>382</v>
      </c>
      <c r="H17" s="9" t="s">
        <v>62</v>
      </c>
      <c r="I17" s="9" t="s">
        <v>18</v>
      </c>
      <c r="J17" s="10"/>
      <c r="K17" s="10" t="s">
        <v>367</v>
      </c>
      <c r="L17" s="9">
        <v>8.0</v>
      </c>
      <c r="M17" s="9"/>
      <c r="N17" s="10"/>
    </row>
    <row r="18" ht="30.0" customHeight="1">
      <c r="A18" s="9">
        <v>15.0</v>
      </c>
      <c r="B18" s="10" t="s">
        <v>149</v>
      </c>
      <c r="C18" s="9" t="s">
        <v>150</v>
      </c>
      <c r="D18" s="10" t="s">
        <v>389</v>
      </c>
      <c r="E18" s="10" t="s">
        <v>390</v>
      </c>
      <c r="F18" s="10" t="s">
        <v>392</v>
      </c>
      <c r="G18" s="10" t="s">
        <v>333</v>
      </c>
      <c r="H18" s="9" t="s">
        <v>40</v>
      </c>
      <c r="I18" s="9" t="s">
        <v>18</v>
      </c>
      <c r="J18" s="10"/>
      <c r="K18" s="10" t="s">
        <v>151</v>
      </c>
      <c r="L18" s="9">
        <v>8.0</v>
      </c>
      <c r="M18" s="9"/>
      <c r="N18" s="10"/>
    </row>
    <row r="19" ht="30.0" customHeight="1">
      <c r="A19" s="9">
        <v>16.0</v>
      </c>
      <c r="B19" s="10" t="s">
        <v>182</v>
      </c>
      <c r="C19" s="9" t="s">
        <v>183</v>
      </c>
      <c r="D19" s="10" t="s">
        <v>399</v>
      </c>
      <c r="E19" s="10" t="s">
        <v>400</v>
      </c>
      <c r="F19" s="10" t="s">
        <v>401</v>
      </c>
      <c r="G19" s="10" t="s">
        <v>402</v>
      </c>
      <c r="H19" s="9" t="s">
        <v>61</v>
      </c>
      <c r="I19" s="9" t="s">
        <v>18</v>
      </c>
      <c r="J19" s="10"/>
      <c r="K19" s="10" t="s">
        <v>186</v>
      </c>
      <c r="L19" s="9">
        <v>10.0</v>
      </c>
      <c r="M19" s="9"/>
      <c r="N19" s="10"/>
    </row>
    <row r="20" ht="30.0" customHeight="1">
      <c r="A20" s="9">
        <v>17.0</v>
      </c>
      <c r="B20" s="10" t="s">
        <v>182</v>
      </c>
      <c r="C20" s="9" t="s">
        <v>183</v>
      </c>
      <c r="D20" s="10" t="s">
        <v>407</v>
      </c>
      <c r="E20" s="10" t="s">
        <v>410</v>
      </c>
      <c r="F20" s="10" t="s">
        <v>411</v>
      </c>
      <c r="G20" s="10" t="s">
        <v>333</v>
      </c>
      <c r="H20" s="9" t="s">
        <v>61</v>
      </c>
      <c r="I20" s="9" t="s">
        <v>18</v>
      </c>
      <c r="J20" s="10"/>
      <c r="K20" s="10" t="s">
        <v>317</v>
      </c>
      <c r="L20" s="9">
        <v>6.0</v>
      </c>
      <c r="M20" s="9"/>
      <c r="N20" s="10"/>
    </row>
    <row r="21" ht="30.0" customHeight="1">
      <c r="A21" s="9">
        <v>18.0</v>
      </c>
      <c r="B21" s="10" t="s">
        <v>193</v>
      </c>
      <c r="C21" s="9" t="s">
        <v>196</v>
      </c>
      <c r="D21" s="10" t="s">
        <v>420</v>
      </c>
      <c r="E21" s="10" t="s">
        <v>422</v>
      </c>
      <c r="F21" s="10" t="s">
        <v>423</v>
      </c>
      <c r="G21" s="10" t="s">
        <v>426</v>
      </c>
      <c r="H21" s="9" t="s">
        <v>40</v>
      </c>
      <c r="I21" s="9" t="s">
        <v>18</v>
      </c>
      <c r="J21" s="10"/>
      <c r="K21" s="10" t="s">
        <v>198</v>
      </c>
      <c r="L21" s="9">
        <v>14.0</v>
      </c>
      <c r="M21" s="9"/>
      <c r="N21" s="10"/>
    </row>
    <row r="22" ht="30.0" customHeight="1">
      <c r="A22" s="9">
        <v>19.0</v>
      </c>
      <c r="B22" s="10" t="s">
        <v>193</v>
      </c>
      <c r="C22" s="9" t="s">
        <v>196</v>
      </c>
      <c r="D22" s="10" t="s">
        <v>431</v>
      </c>
      <c r="E22" s="10" t="s">
        <v>432</v>
      </c>
      <c r="F22" s="10" t="s">
        <v>433</v>
      </c>
      <c r="G22" s="10" t="s">
        <v>434</v>
      </c>
      <c r="H22" s="9" t="s">
        <v>61</v>
      </c>
      <c r="I22" s="9" t="s">
        <v>18</v>
      </c>
      <c r="J22" s="10"/>
      <c r="K22" s="10" t="s">
        <v>229</v>
      </c>
      <c r="L22" s="9">
        <v>6.0</v>
      </c>
      <c r="M22" s="9"/>
      <c r="N22" s="10"/>
    </row>
    <row r="23" ht="30.0" customHeight="1">
      <c r="A23" s="9">
        <v>20.0</v>
      </c>
      <c r="B23" s="10" t="s">
        <v>209</v>
      </c>
      <c r="C23" s="9" t="s">
        <v>211</v>
      </c>
      <c r="D23" s="10" t="s">
        <v>435</v>
      </c>
      <c r="E23" s="10" t="s">
        <v>436</v>
      </c>
      <c r="F23" s="10" t="s">
        <v>437</v>
      </c>
      <c r="G23" s="10" t="s">
        <v>438</v>
      </c>
      <c r="H23" s="9" t="s">
        <v>62</v>
      </c>
      <c r="I23" s="9" t="s">
        <v>18</v>
      </c>
      <c r="J23" s="10"/>
      <c r="K23" s="10" t="s">
        <v>431</v>
      </c>
      <c r="L23" s="9">
        <v>12.0</v>
      </c>
      <c r="M23" s="9"/>
      <c r="N23" s="10"/>
    </row>
    <row r="24" ht="30.0" customHeight="1">
      <c r="A24" s="9">
        <v>21.0</v>
      </c>
      <c r="B24" s="10" t="s">
        <v>209</v>
      </c>
      <c r="C24" s="9" t="s">
        <v>211</v>
      </c>
      <c r="D24" s="10" t="s">
        <v>443</v>
      </c>
      <c r="E24" s="10" t="s">
        <v>444</v>
      </c>
      <c r="F24" s="10" t="s">
        <v>445</v>
      </c>
      <c r="G24" s="10" t="s">
        <v>446</v>
      </c>
      <c r="H24" s="9" t="s">
        <v>62</v>
      </c>
      <c r="I24" s="9" t="s">
        <v>18</v>
      </c>
      <c r="J24" s="10"/>
      <c r="K24" s="10" t="s">
        <v>435</v>
      </c>
      <c r="L24" s="9">
        <v>6.0</v>
      </c>
      <c r="M24" s="9"/>
      <c r="N24" s="10"/>
    </row>
    <row r="25" ht="15.75" customHeight="1"/>
    <row r="26" ht="15.75" customHeight="1">
      <c r="A26" s="14" t="str">
        <f>"TOTAL TASKS: "&amp;COUNTA(D4:D24)&amp;"   |   Est. Hours:"</f>
        <v>TOTAL TASKS: 21   |   Est. Hours:</v>
      </c>
      <c r="L26" s="14">
        <f>SUM(L4:L24)</f>
        <v>201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N1"/>
    <mergeCell ref="A2:N2"/>
  </mergeCells>
  <dataValidations>
    <dataValidation type="list" allowBlank="1" showErrorMessage="1" sqref="H4:H24">
      <formula1>"Critical,High,Medium"</formula1>
    </dataValidation>
    <dataValidation type="list" allowBlank="1" showErrorMessage="1" sqref="I4:I24">
      <formula1>"Pending,Completed,Hold,Blocked,Not Started"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4.0"/>
    <col customWidth="1" min="2" max="2" width="10.0"/>
    <col customWidth="1" min="3" max="3" width="7.0"/>
    <col customWidth="1" min="4" max="4" width="10.0"/>
    <col customWidth="1" min="5" max="5" width="26.0"/>
    <col customWidth="1" min="6" max="6" width="46.0"/>
    <col customWidth="1" min="7" max="7" width="26.0"/>
    <col customWidth="1" min="8" max="8" width="14.29"/>
    <col customWidth="1" min="9" max="9" width="17.43"/>
    <col customWidth="1" min="10" max="10" width="16.0"/>
    <col customWidth="1" min="11" max="11" width="12.0"/>
    <col customWidth="1" min="12" max="13" width="10.0"/>
    <col customWidth="1" min="14" max="14" width="20.0"/>
    <col customWidth="1" min="15" max="26" width="8.71"/>
  </cols>
  <sheetData>
    <row r="1" ht="21.75" customHeight="1">
      <c r="A1" s="1" t="s">
        <v>309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4"/>
    </row>
    <row r="2" ht="15.75" customHeight="1">
      <c r="A2" s="5" t="s">
        <v>320</v>
      </c>
    </row>
    <row r="3">
      <c r="A3" s="7" t="s">
        <v>6</v>
      </c>
      <c r="B3" s="7" t="s">
        <v>10</v>
      </c>
      <c r="C3" s="7" t="s">
        <v>12</v>
      </c>
      <c r="D3" s="7" t="s">
        <v>14</v>
      </c>
      <c r="E3" s="7" t="s">
        <v>15</v>
      </c>
      <c r="F3" s="7" t="s">
        <v>17</v>
      </c>
      <c r="G3" s="7" t="s">
        <v>19</v>
      </c>
      <c r="H3" s="7" t="s">
        <v>22</v>
      </c>
      <c r="I3" s="7" t="s">
        <v>24</v>
      </c>
      <c r="J3" s="7" t="s">
        <v>25</v>
      </c>
      <c r="K3" s="7" t="s">
        <v>28</v>
      </c>
      <c r="L3" s="7" t="s">
        <v>29</v>
      </c>
      <c r="M3" s="7" t="s">
        <v>30</v>
      </c>
      <c r="N3" s="7" t="s">
        <v>31</v>
      </c>
    </row>
    <row r="4" ht="30.0" customHeight="1">
      <c r="A4" s="9">
        <v>1.0</v>
      </c>
      <c r="B4" s="10" t="s">
        <v>33</v>
      </c>
      <c r="C4" s="9" t="s">
        <v>35</v>
      </c>
      <c r="D4" s="10" t="s">
        <v>334</v>
      </c>
      <c r="E4" s="10"/>
      <c r="F4" s="10"/>
      <c r="G4" s="10"/>
      <c r="H4" s="9" t="s">
        <v>62</v>
      </c>
      <c r="I4" s="9" t="s">
        <v>18</v>
      </c>
      <c r="J4" s="10"/>
      <c r="K4" s="10" t="s">
        <v>47</v>
      </c>
      <c r="L4" s="9">
        <v>4.0</v>
      </c>
      <c r="M4" s="9"/>
      <c r="N4" s="10"/>
    </row>
    <row r="5" ht="30.0" customHeight="1">
      <c r="A5" s="9">
        <v>2.0</v>
      </c>
      <c r="B5" s="10" t="s">
        <v>55</v>
      </c>
      <c r="C5" s="9" t="s">
        <v>56</v>
      </c>
      <c r="D5" s="10" t="s">
        <v>345</v>
      </c>
      <c r="E5" s="10"/>
      <c r="F5" s="10"/>
      <c r="G5" s="10"/>
      <c r="H5" s="9" t="s">
        <v>62</v>
      </c>
      <c r="I5" s="9" t="s">
        <v>18</v>
      </c>
      <c r="J5" s="10"/>
      <c r="K5" s="10" t="s">
        <v>304</v>
      </c>
      <c r="L5" s="9">
        <v>6.0</v>
      </c>
      <c r="M5" s="9"/>
      <c r="N5" s="10"/>
    </row>
    <row r="6" ht="30.0" customHeight="1">
      <c r="A6" s="9">
        <v>3.0</v>
      </c>
      <c r="B6" s="10" t="s">
        <v>67</v>
      </c>
      <c r="C6" s="9" t="s">
        <v>68</v>
      </c>
      <c r="D6" s="10" t="s">
        <v>354</v>
      </c>
      <c r="E6" s="10"/>
      <c r="F6" s="10"/>
      <c r="G6" s="10"/>
      <c r="H6" s="9" t="s">
        <v>40</v>
      </c>
      <c r="I6" s="9" t="s">
        <v>18</v>
      </c>
      <c r="J6" s="10"/>
      <c r="K6" s="10" t="s">
        <v>308</v>
      </c>
      <c r="L6" s="9">
        <v>6.0</v>
      </c>
      <c r="M6" s="9"/>
      <c r="N6" s="10"/>
    </row>
    <row r="7" ht="30.0" customHeight="1">
      <c r="A7" s="9">
        <v>4.0</v>
      </c>
      <c r="B7" s="10" t="s">
        <v>73</v>
      </c>
      <c r="C7" s="9" t="s">
        <v>74</v>
      </c>
      <c r="D7" s="10" t="s">
        <v>356</v>
      </c>
      <c r="E7" s="10"/>
      <c r="F7" s="10"/>
      <c r="G7" s="10"/>
      <c r="H7" s="9" t="s">
        <v>40</v>
      </c>
      <c r="I7" s="9" t="s">
        <v>18</v>
      </c>
      <c r="J7" s="10"/>
      <c r="K7" s="10" t="s">
        <v>313</v>
      </c>
      <c r="L7" s="9">
        <v>4.0</v>
      </c>
      <c r="M7" s="9"/>
      <c r="N7" s="10"/>
    </row>
    <row r="8" ht="30.0" customHeight="1">
      <c r="A8" s="9">
        <v>5.0</v>
      </c>
      <c r="B8" s="10" t="s">
        <v>79</v>
      </c>
      <c r="C8" s="9" t="s">
        <v>80</v>
      </c>
      <c r="D8" s="10" t="s">
        <v>360</v>
      </c>
      <c r="E8" s="10"/>
      <c r="F8" s="10"/>
      <c r="G8" s="10"/>
      <c r="H8" s="9" t="s">
        <v>40</v>
      </c>
      <c r="I8" s="9" t="s">
        <v>18</v>
      </c>
      <c r="J8" s="10"/>
      <c r="K8" s="10" t="s">
        <v>317</v>
      </c>
      <c r="L8" s="9">
        <v>4.0</v>
      </c>
      <c r="M8" s="9"/>
      <c r="N8" s="10"/>
    </row>
    <row r="9" ht="30.0" customHeight="1">
      <c r="A9" s="9">
        <v>6.0</v>
      </c>
      <c r="B9" s="10" t="s">
        <v>92</v>
      </c>
      <c r="C9" s="9" t="s">
        <v>93</v>
      </c>
      <c r="D9" s="10" t="s">
        <v>366</v>
      </c>
      <c r="E9" s="10"/>
      <c r="F9" s="10"/>
      <c r="G9" s="10"/>
      <c r="H9" s="9" t="s">
        <v>62</v>
      </c>
      <c r="I9" s="9" t="s">
        <v>18</v>
      </c>
      <c r="J9" s="10"/>
      <c r="K9" s="10" t="s">
        <v>326</v>
      </c>
      <c r="L9" s="9">
        <v>8.0</v>
      </c>
      <c r="M9" s="9"/>
      <c r="N9" s="10"/>
    </row>
    <row r="10" ht="30.0" customHeight="1">
      <c r="A10" s="9">
        <v>7.0</v>
      </c>
      <c r="B10" s="10" t="s">
        <v>92</v>
      </c>
      <c r="C10" s="9" t="s">
        <v>93</v>
      </c>
      <c r="D10" s="10" t="s">
        <v>374</v>
      </c>
      <c r="E10" s="10"/>
      <c r="F10" s="10"/>
      <c r="G10" s="10"/>
      <c r="H10" s="9" t="s">
        <v>62</v>
      </c>
      <c r="I10" s="9" t="s">
        <v>18</v>
      </c>
      <c r="J10" s="10"/>
      <c r="K10" s="10" t="s">
        <v>335</v>
      </c>
      <c r="L10" s="9">
        <v>6.0</v>
      </c>
      <c r="M10" s="9"/>
      <c r="N10" s="10"/>
    </row>
    <row r="11" ht="30.0" customHeight="1">
      <c r="A11" s="9">
        <v>8.0</v>
      </c>
      <c r="B11" s="10" t="s">
        <v>124</v>
      </c>
      <c r="C11" s="9" t="s">
        <v>126</v>
      </c>
      <c r="D11" s="10" t="s">
        <v>449</v>
      </c>
      <c r="E11" s="10"/>
      <c r="F11" s="10"/>
      <c r="G11" s="10"/>
      <c r="H11" s="9" t="s">
        <v>40</v>
      </c>
      <c r="I11" s="9" t="s">
        <v>18</v>
      </c>
      <c r="J11" s="10"/>
      <c r="K11" s="10" t="s">
        <v>340</v>
      </c>
      <c r="L11" s="9">
        <v>6.0</v>
      </c>
      <c r="M11" s="9"/>
      <c r="N11" s="10"/>
    </row>
    <row r="12" ht="30.0" customHeight="1">
      <c r="A12" s="9">
        <v>9.0</v>
      </c>
      <c r="B12" s="10" t="s">
        <v>137</v>
      </c>
      <c r="C12" s="9" t="s">
        <v>138</v>
      </c>
      <c r="D12" s="10" t="s">
        <v>456</v>
      </c>
      <c r="E12" s="10"/>
      <c r="F12" s="10"/>
      <c r="G12" s="10"/>
      <c r="H12" s="9" t="s">
        <v>40</v>
      </c>
      <c r="I12" s="9" t="s">
        <v>18</v>
      </c>
      <c r="J12" s="10"/>
      <c r="K12" s="10" t="s">
        <v>377</v>
      </c>
      <c r="L12" s="9">
        <v>6.0</v>
      </c>
      <c r="M12" s="9"/>
      <c r="N12" s="10"/>
    </row>
    <row r="13" ht="30.0" customHeight="1">
      <c r="A13" s="9">
        <v>10.0</v>
      </c>
      <c r="B13" s="10" t="s">
        <v>149</v>
      </c>
      <c r="C13" s="9" t="s">
        <v>150</v>
      </c>
      <c r="D13" s="10" t="s">
        <v>457</v>
      </c>
      <c r="E13" s="10"/>
      <c r="F13" s="10"/>
      <c r="G13" s="10"/>
      <c r="H13" s="9" t="s">
        <v>62</v>
      </c>
      <c r="I13" s="9" t="s">
        <v>18</v>
      </c>
      <c r="J13" s="10"/>
      <c r="K13" s="10" t="s">
        <v>205</v>
      </c>
      <c r="L13" s="9">
        <v>8.0</v>
      </c>
      <c r="M13" s="9"/>
      <c r="N13" s="10"/>
    </row>
    <row r="14" ht="30.0" customHeight="1">
      <c r="A14" s="9">
        <v>11.0</v>
      </c>
      <c r="B14" s="10" t="s">
        <v>182</v>
      </c>
      <c r="C14" s="9" t="s">
        <v>183</v>
      </c>
      <c r="D14" s="10" t="s">
        <v>458</v>
      </c>
      <c r="E14" s="10"/>
      <c r="F14" s="10"/>
      <c r="G14" s="10"/>
      <c r="H14" s="9" t="s">
        <v>61</v>
      </c>
      <c r="I14" s="9" t="s">
        <v>18</v>
      </c>
      <c r="J14" s="10"/>
      <c r="K14" s="10" t="s">
        <v>399</v>
      </c>
      <c r="L14" s="9">
        <v>6.0</v>
      </c>
      <c r="M14" s="9"/>
      <c r="N14" s="10"/>
    </row>
    <row r="15" ht="30.0" customHeight="1">
      <c r="A15" s="9">
        <v>12.0</v>
      </c>
      <c r="B15" s="10" t="s">
        <v>193</v>
      </c>
      <c r="C15" s="9" t="s">
        <v>196</v>
      </c>
      <c r="D15" s="10" t="s">
        <v>459</v>
      </c>
      <c r="E15" s="10"/>
      <c r="F15" s="10"/>
      <c r="G15" s="10"/>
      <c r="H15" s="9" t="s">
        <v>61</v>
      </c>
      <c r="I15" s="9" t="s">
        <v>18</v>
      </c>
      <c r="J15" s="10"/>
      <c r="K15" s="10" t="s">
        <v>420</v>
      </c>
      <c r="L15" s="9">
        <v>6.0</v>
      </c>
      <c r="M15" s="9"/>
      <c r="N15" s="10"/>
    </row>
    <row r="16" ht="30.0" customHeight="1">
      <c r="A16" s="9">
        <v>13.0</v>
      </c>
      <c r="B16" s="10" t="s">
        <v>209</v>
      </c>
      <c r="C16" s="9" t="s">
        <v>211</v>
      </c>
      <c r="D16" s="10" t="s">
        <v>460</v>
      </c>
      <c r="E16" s="10"/>
      <c r="F16" s="10"/>
      <c r="G16" s="10"/>
      <c r="H16" s="9" t="s">
        <v>62</v>
      </c>
      <c r="I16" s="9" t="s">
        <v>18</v>
      </c>
      <c r="J16" s="10"/>
      <c r="K16" s="10" t="s">
        <v>459</v>
      </c>
      <c r="L16" s="9">
        <v>12.0</v>
      </c>
      <c r="M16" s="9"/>
      <c r="N16" s="10"/>
    </row>
    <row r="17" ht="30.0" customHeight="1">
      <c r="A17" s="9">
        <v>14.0</v>
      </c>
      <c r="B17" s="10" t="s">
        <v>209</v>
      </c>
      <c r="C17" s="9" t="s">
        <v>211</v>
      </c>
      <c r="D17" s="10" t="s">
        <v>461</v>
      </c>
      <c r="E17" s="10"/>
      <c r="F17" s="10"/>
      <c r="G17" s="10"/>
      <c r="H17" s="9" t="s">
        <v>62</v>
      </c>
      <c r="I17" s="9" t="s">
        <v>18</v>
      </c>
      <c r="J17" s="10"/>
      <c r="K17" s="10" t="s">
        <v>366</v>
      </c>
      <c r="L17" s="9">
        <v>6.0</v>
      </c>
      <c r="M17" s="9"/>
      <c r="N17" s="10"/>
    </row>
    <row r="18" ht="30.0" customHeight="1">
      <c r="A18" s="9">
        <v>15.0</v>
      </c>
      <c r="B18" s="10" t="s">
        <v>209</v>
      </c>
      <c r="C18" s="9" t="s">
        <v>211</v>
      </c>
      <c r="D18" s="10" t="s">
        <v>462</v>
      </c>
      <c r="E18" s="10"/>
      <c r="F18" s="10"/>
      <c r="G18" s="10"/>
      <c r="H18" s="9" t="s">
        <v>62</v>
      </c>
      <c r="I18" s="9" t="s">
        <v>18</v>
      </c>
      <c r="J18" s="10"/>
      <c r="K18" s="10" t="s">
        <v>460</v>
      </c>
      <c r="L18" s="9">
        <v>4.0</v>
      </c>
      <c r="M18" s="9"/>
      <c r="N18" s="10"/>
    </row>
    <row r="20">
      <c r="A20" s="14" t="str">
        <f>"TOTAL TASKS: "&amp;COUNTA(D4:D18)&amp;"   |   Est. Hours:"</f>
        <v>TOTAL TASKS: 15   |   Est. Hours:</v>
      </c>
      <c r="L20" s="14">
        <f>SUM(L4:L18)</f>
        <v>92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N1"/>
    <mergeCell ref="A2:N2"/>
  </mergeCells>
  <dataValidations>
    <dataValidation type="list" allowBlank="1" showErrorMessage="1" sqref="H4:H18">
      <formula1>"Critical,High,Medium"</formula1>
    </dataValidation>
    <dataValidation type="list" allowBlank="1" showErrorMessage="1" sqref="I4:I18">
      <formula1>"Pending,Completed,Hold,Blocked,Not Started"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4.43"/>
    <col customWidth="1" min="2" max="4" width="26.86"/>
    <col customWidth="1" min="5" max="5" width="27.0"/>
    <col customWidth="1" min="6" max="26" width="26.86"/>
  </cols>
  <sheetData>
    <row r="1">
      <c r="A1" s="20" t="s">
        <v>325</v>
      </c>
      <c r="B1" s="2"/>
      <c r="C1" s="2"/>
      <c r="D1" s="2"/>
      <c r="E1" s="2"/>
      <c r="F1" s="4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>
      <c r="A2" s="22" t="s">
        <v>339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>
      <c r="A3" s="23" t="s">
        <v>6</v>
      </c>
      <c r="B3" s="23" t="s">
        <v>349</v>
      </c>
      <c r="C3" s="23" t="s">
        <v>350</v>
      </c>
      <c r="D3" s="23" t="s">
        <v>351</v>
      </c>
      <c r="E3" s="23" t="s">
        <v>352</v>
      </c>
      <c r="F3" s="23" t="s">
        <v>353</v>
      </c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>
      <c r="A4" s="24">
        <v>1.0</v>
      </c>
      <c r="B4" s="25" t="s">
        <v>355</v>
      </c>
      <c r="C4" s="25" t="s">
        <v>357</v>
      </c>
      <c r="D4" s="25" t="s">
        <v>358</v>
      </c>
      <c r="E4" s="25" t="s">
        <v>359</v>
      </c>
      <c r="F4" s="24" t="s">
        <v>56</v>
      </c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>
      <c r="A5" s="24">
        <v>2.0</v>
      </c>
      <c r="B5" s="25" t="s">
        <v>362</v>
      </c>
      <c r="C5" s="25" t="s">
        <v>363</v>
      </c>
      <c r="D5" s="25" t="s">
        <v>364</v>
      </c>
      <c r="E5" s="12" t="s">
        <v>365</v>
      </c>
      <c r="F5" s="24" t="s">
        <v>93</v>
      </c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>
      <c r="A6" s="24">
        <v>3.0</v>
      </c>
      <c r="B6" s="25" t="s">
        <v>372</v>
      </c>
      <c r="C6" s="25" t="s">
        <v>373</v>
      </c>
      <c r="D6" s="25" t="s">
        <v>375</v>
      </c>
      <c r="E6" s="12" t="s">
        <v>376</v>
      </c>
      <c r="F6" s="24" t="s">
        <v>93</v>
      </c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>
      <c r="A7" s="24">
        <v>4.0</v>
      </c>
      <c r="B7" s="25" t="s">
        <v>383</v>
      </c>
      <c r="C7" s="25" t="s">
        <v>385</v>
      </c>
      <c r="D7" s="25" t="s">
        <v>386</v>
      </c>
      <c r="E7" s="25" t="s">
        <v>387</v>
      </c>
      <c r="F7" s="24" t="s">
        <v>93</v>
      </c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>
      <c r="A8" s="24">
        <v>5.0</v>
      </c>
      <c r="B8" s="25" t="s">
        <v>396</v>
      </c>
      <c r="C8" s="25" t="s">
        <v>363</v>
      </c>
      <c r="D8" s="25" t="s">
        <v>397</v>
      </c>
      <c r="E8" s="25" t="s">
        <v>398</v>
      </c>
      <c r="F8" s="24" t="s">
        <v>93</v>
      </c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ht="48.75" customHeight="1">
      <c r="A9" s="26">
        <v>6.0</v>
      </c>
      <c r="B9" s="12" t="s">
        <v>409</v>
      </c>
      <c r="C9" s="12" t="s">
        <v>373</v>
      </c>
      <c r="D9" s="12" t="s">
        <v>412</v>
      </c>
      <c r="E9" s="12" t="s">
        <v>413</v>
      </c>
      <c r="F9" s="24" t="s">
        <v>126</v>
      </c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>
      <c r="A10" s="24">
        <v>7.0</v>
      </c>
      <c r="B10" s="25" t="s">
        <v>421</v>
      </c>
      <c r="C10" s="25" t="s">
        <v>363</v>
      </c>
      <c r="D10" s="25" t="s">
        <v>425</v>
      </c>
      <c r="E10" s="25" t="s">
        <v>427</v>
      </c>
      <c r="F10" s="24" t="s">
        <v>126</v>
      </c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>
      <c r="A11" s="24">
        <v>8.0</v>
      </c>
      <c r="B11" s="25" t="s">
        <v>430</v>
      </c>
      <c r="C11" s="25" t="s">
        <v>363</v>
      </c>
      <c r="D11" s="25" t="s">
        <v>425</v>
      </c>
      <c r="E11" s="25" t="s">
        <v>181</v>
      </c>
      <c r="F11" s="24" t="s">
        <v>126</v>
      </c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>
      <c r="A12" s="26">
        <v>9.0</v>
      </c>
      <c r="B12" s="25" t="s">
        <v>439</v>
      </c>
      <c r="C12" s="25" t="s">
        <v>440</v>
      </c>
      <c r="D12" s="25" t="s">
        <v>441</v>
      </c>
      <c r="E12" s="25" t="s">
        <v>442</v>
      </c>
      <c r="F12" s="24" t="s">
        <v>68</v>
      </c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>
      <c r="A13" s="24">
        <v>10.0</v>
      </c>
      <c r="B13" s="25" t="s">
        <v>405</v>
      </c>
      <c r="C13" s="25" t="s">
        <v>447</v>
      </c>
      <c r="D13" s="25" t="s">
        <v>448</v>
      </c>
      <c r="E13" s="25" t="s">
        <v>450</v>
      </c>
      <c r="F13" s="24" t="s">
        <v>150</v>
      </c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>
      <c r="A14" s="24">
        <v>11.0</v>
      </c>
      <c r="B14" s="25" t="s">
        <v>451</v>
      </c>
      <c r="C14" s="25" t="s">
        <v>452</v>
      </c>
      <c r="D14" s="25" t="s">
        <v>453</v>
      </c>
      <c r="E14" s="25" t="s">
        <v>454</v>
      </c>
      <c r="F14" s="24" t="s">
        <v>455</v>
      </c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  <row r="1001">
      <c r="A1001" s="21"/>
      <c r="B1001" s="21"/>
      <c r="C1001" s="21"/>
      <c r="D1001" s="21"/>
      <c r="E1001" s="21"/>
      <c r="F1001" s="21"/>
      <c r="G1001" s="21"/>
      <c r="H1001" s="21"/>
      <c r="I1001" s="21"/>
      <c r="J1001" s="21"/>
      <c r="K1001" s="21"/>
      <c r="L1001" s="21"/>
      <c r="M1001" s="21"/>
      <c r="N1001" s="21"/>
      <c r="O1001" s="21"/>
      <c r="P1001" s="21"/>
      <c r="Q1001" s="21"/>
      <c r="R1001" s="21"/>
      <c r="S1001" s="21"/>
      <c r="T1001" s="21"/>
      <c r="U1001" s="21"/>
      <c r="V1001" s="21"/>
      <c r="W1001" s="21"/>
      <c r="X1001" s="21"/>
      <c r="Y1001" s="21"/>
      <c r="Z1001" s="21"/>
    </row>
  </sheetData>
  <mergeCells count="2">
    <mergeCell ref="A1:F1"/>
    <mergeCell ref="A2:F2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31.29"/>
    <col customWidth="1" min="3" max="3" width="19.57"/>
    <col customWidth="1" min="4" max="4" width="41.0"/>
  </cols>
  <sheetData>
    <row r="1">
      <c r="A1" s="20" t="s">
        <v>361</v>
      </c>
      <c r="B1" s="2"/>
      <c r="C1" s="2"/>
      <c r="D1" s="2"/>
      <c r="E1" s="4"/>
    </row>
    <row r="2">
      <c r="A2" s="22" t="s">
        <v>371</v>
      </c>
    </row>
    <row r="3">
      <c r="A3" s="23" t="s">
        <v>6</v>
      </c>
      <c r="B3" s="23" t="s">
        <v>379</v>
      </c>
      <c r="C3" s="23" t="s">
        <v>381</v>
      </c>
      <c r="D3" s="23" t="s">
        <v>384</v>
      </c>
      <c r="E3" s="23" t="s">
        <v>353</v>
      </c>
    </row>
    <row r="4">
      <c r="A4" s="24">
        <v>1.0</v>
      </c>
      <c r="B4" s="25" t="s">
        <v>388</v>
      </c>
      <c r="C4" s="25" t="s">
        <v>391</v>
      </c>
      <c r="D4" s="25" t="s">
        <v>393</v>
      </c>
      <c r="E4" s="24" t="s">
        <v>126</v>
      </c>
    </row>
    <row r="5">
      <c r="A5" s="24">
        <v>2.0</v>
      </c>
      <c r="B5" s="25" t="s">
        <v>394</v>
      </c>
      <c r="C5" s="25" t="s">
        <v>391</v>
      </c>
      <c r="D5" s="25" t="s">
        <v>395</v>
      </c>
      <c r="E5" s="24" t="s">
        <v>126</v>
      </c>
    </row>
    <row r="6">
      <c r="A6" s="26">
        <v>3.0</v>
      </c>
      <c r="B6" s="12" t="s">
        <v>403</v>
      </c>
      <c r="C6" s="25" t="s">
        <v>391</v>
      </c>
      <c r="D6" s="12" t="s">
        <v>404</v>
      </c>
      <c r="E6" s="24" t="s">
        <v>138</v>
      </c>
    </row>
    <row r="7">
      <c r="A7" s="24">
        <v>4.0</v>
      </c>
      <c r="B7" s="25" t="s">
        <v>405</v>
      </c>
      <c r="C7" s="25" t="s">
        <v>406</v>
      </c>
      <c r="D7" s="25" t="s">
        <v>408</v>
      </c>
      <c r="E7" s="24" t="s">
        <v>150</v>
      </c>
    </row>
    <row r="8">
      <c r="A8" s="24">
        <v>5.0</v>
      </c>
      <c r="B8" s="25" t="s">
        <v>414</v>
      </c>
      <c r="C8" s="25" t="s">
        <v>415</v>
      </c>
      <c r="D8" s="25" t="s">
        <v>416</v>
      </c>
      <c r="E8" s="24" t="s">
        <v>138</v>
      </c>
    </row>
    <row r="9">
      <c r="A9" s="26">
        <v>6.0</v>
      </c>
      <c r="B9" s="25" t="s">
        <v>417</v>
      </c>
      <c r="C9" s="25" t="s">
        <v>418</v>
      </c>
      <c r="D9" s="25" t="s">
        <v>419</v>
      </c>
      <c r="E9" s="24" t="s">
        <v>211</v>
      </c>
    </row>
    <row r="10">
      <c r="A10" s="24">
        <v>7.0</v>
      </c>
      <c r="B10" s="25" t="s">
        <v>424</v>
      </c>
      <c r="C10" s="25" t="s">
        <v>428</v>
      </c>
      <c r="D10" s="25" t="s">
        <v>429</v>
      </c>
      <c r="E10" s="24" t="s">
        <v>183</v>
      </c>
    </row>
  </sheetData>
  <mergeCells count="2">
    <mergeCell ref="A1:E1"/>
    <mergeCell ref="A2:E2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30.43"/>
    <col customWidth="1" min="3" max="3" width="26.14"/>
    <col customWidth="1" min="4" max="4" width="24.0"/>
    <col customWidth="1" min="5" max="5" width="25.57"/>
    <col customWidth="1" min="6" max="6" width="19.0"/>
    <col customWidth="1" min="7" max="7" width="24.43"/>
    <col customWidth="1" min="8" max="8" width="19.14"/>
  </cols>
  <sheetData>
    <row r="1">
      <c r="A1" s="20" t="s">
        <v>463</v>
      </c>
      <c r="B1" s="2"/>
      <c r="C1" s="2"/>
      <c r="D1" s="2"/>
      <c r="E1" s="2"/>
      <c r="F1" s="2"/>
      <c r="G1" s="2"/>
      <c r="H1" s="2"/>
      <c r="I1" s="4"/>
    </row>
    <row r="2">
      <c r="A2" s="22" t="s">
        <v>464</v>
      </c>
    </row>
    <row r="3">
      <c r="A3" s="23" t="s">
        <v>6</v>
      </c>
      <c r="B3" s="23" t="s">
        <v>465</v>
      </c>
      <c r="C3" s="23" t="s">
        <v>466</v>
      </c>
      <c r="D3" s="23" t="s">
        <v>467</v>
      </c>
      <c r="E3" s="23" t="s">
        <v>116</v>
      </c>
      <c r="F3" s="23" t="s">
        <v>166</v>
      </c>
      <c r="G3" s="23" t="s">
        <v>349</v>
      </c>
      <c r="H3" s="23" t="s">
        <v>468</v>
      </c>
      <c r="I3" s="23" t="s">
        <v>469</v>
      </c>
    </row>
    <row r="4">
      <c r="A4" s="24">
        <v>1.0</v>
      </c>
      <c r="B4" s="25" t="s">
        <v>470</v>
      </c>
      <c r="C4" s="25" t="s">
        <v>471</v>
      </c>
      <c r="D4" s="25" t="s">
        <v>472</v>
      </c>
      <c r="E4" s="25" t="s">
        <v>473</v>
      </c>
      <c r="F4" s="25" t="s">
        <v>357</v>
      </c>
      <c r="G4" s="25" t="s">
        <v>355</v>
      </c>
      <c r="H4" s="25" t="s">
        <v>47</v>
      </c>
      <c r="I4" s="24" t="s">
        <v>345</v>
      </c>
    </row>
    <row r="5">
      <c r="A5" s="24">
        <v>2.0</v>
      </c>
      <c r="B5" s="25" t="s">
        <v>474</v>
      </c>
      <c r="C5" s="25" t="s">
        <v>475</v>
      </c>
      <c r="D5" s="25" t="s">
        <v>476</v>
      </c>
      <c r="E5" s="25" t="s">
        <v>477</v>
      </c>
      <c r="F5" s="25" t="s">
        <v>440</v>
      </c>
      <c r="G5" s="25" t="s">
        <v>439</v>
      </c>
      <c r="H5" s="25" t="s">
        <v>47</v>
      </c>
      <c r="I5" s="24" t="s">
        <v>354</v>
      </c>
    </row>
    <row r="6">
      <c r="A6" s="24">
        <v>3.0</v>
      </c>
      <c r="B6" s="25" t="s">
        <v>268</v>
      </c>
      <c r="C6" s="25" t="s">
        <v>478</v>
      </c>
      <c r="D6" s="25" t="s">
        <v>479</v>
      </c>
      <c r="E6" s="25" t="s">
        <v>480</v>
      </c>
      <c r="F6" s="25" t="s">
        <v>440</v>
      </c>
      <c r="G6" s="25" t="s">
        <v>47</v>
      </c>
      <c r="H6" s="25" t="s">
        <v>47</v>
      </c>
      <c r="I6" s="24" t="s">
        <v>356</v>
      </c>
    </row>
    <row r="7">
      <c r="A7" s="24">
        <v>4.0</v>
      </c>
      <c r="B7" s="25" t="s">
        <v>481</v>
      </c>
      <c r="C7" s="25" t="s">
        <v>482</v>
      </c>
      <c r="D7" s="25" t="s">
        <v>483</v>
      </c>
      <c r="E7" s="25" t="s">
        <v>484</v>
      </c>
      <c r="F7" s="25" t="s">
        <v>47</v>
      </c>
      <c r="G7" s="25" t="s">
        <v>47</v>
      </c>
      <c r="H7" s="25" t="s">
        <v>485</v>
      </c>
      <c r="I7" s="24" t="s">
        <v>360</v>
      </c>
    </row>
    <row r="8">
      <c r="A8" s="24">
        <v>5.0</v>
      </c>
      <c r="B8" s="25" t="s">
        <v>486</v>
      </c>
      <c r="C8" s="25" t="s">
        <v>487</v>
      </c>
      <c r="D8" s="25" t="s">
        <v>488</v>
      </c>
      <c r="E8" s="25" t="s">
        <v>489</v>
      </c>
      <c r="F8" s="25" t="s">
        <v>490</v>
      </c>
      <c r="G8" s="12" t="s">
        <v>491</v>
      </c>
      <c r="H8" s="25" t="s">
        <v>492</v>
      </c>
      <c r="I8" s="24" t="s">
        <v>366</v>
      </c>
    </row>
    <row r="9">
      <c r="A9" s="24">
        <v>6.0</v>
      </c>
      <c r="B9" s="25" t="s">
        <v>493</v>
      </c>
      <c r="C9" s="25" t="s">
        <v>494</v>
      </c>
      <c r="D9" s="25" t="s">
        <v>495</v>
      </c>
      <c r="E9" s="25" t="s">
        <v>489</v>
      </c>
      <c r="F9" s="25" t="s">
        <v>496</v>
      </c>
      <c r="G9" s="25" t="s">
        <v>497</v>
      </c>
      <c r="H9" s="25" t="s">
        <v>47</v>
      </c>
      <c r="I9" s="24" t="s">
        <v>366</v>
      </c>
    </row>
    <row r="10">
      <c r="A10" s="24">
        <v>7.0</v>
      </c>
      <c r="B10" s="25" t="s">
        <v>498</v>
      </c>
      <c r="C10" s="25" t="s">
        <v>499</v>
      </c>
      <c r="D10" s="25" t="s">
        <v>500</v>
      </c>
      <c r="E10" s="25" t="s">
        <v>501</v>
      </c>
      <c r="F10" s="25" t="s">
        <v>363</v>
      </c>
      <c r="G10" s="25" t="s">
        <v>502</v>
      </c>
      <c r="H10" s="25" t="s">
        <v>503</v>
      </c>
      <c r="I10" s="24" t="s">
        <v>374</v>
      </c>
    </row>
    <row r="11">
      <c r="A11" s="24">
        <v>8.0</v>
      </c>
      <c r="B11" s="25" t="s">
        <v>504</v>
      </c>
      <c r="C11" s="25" t="s">
        <v>505</v>
      </c>
      <c r="D11" s="25" t="s">
        <v>506</v>
      </c>
      <c r="E11" s="25" t="s">
        <v>507</v>
      </c>
      <c r="F11" s="25" t="s">
        <v>363</v>
      </c>
      <c r="G11" s="25" t="s">
        <v>362</v>
      </c>
      <c r="H11" s="25" t="s">
        <v>47</v>
      </c>
      <c r="I11" s="24" t="s">
        <v>508</v>
      </c>
    </row>
    <row r="12">
      <c r="A12" s="24">
        <v>9.0</v>
      </c>
      <c r="B12" s="25" t="s">
        <v>277</v>
      </c>
      <c r="C12" s="25" t="s">
        <v>509</v>
      </c>
      <c r="D12" s="25" t="s">
        <v>510</v>
      </c>
      <c r="E12" s="25" t="s">
        <v>511</v>
      </c>
      <c r="F12" s="25" t="s">
        <v>512</v>
      </c>
      <c r="G12" s="25" t="s">
        <v>513</v>
      </c>
      <c r="H12" s="25" t="s">
        <v>47</v>
      </c>
      <c r="I12" s="24" t="s">
        <v>449</v>
      </c>
    </row>
    <row r="13">
      <c r="A13" s="24">
        <v>10.0</v>
      </c>
      <c r="B13" s="25" t="s">
        <v>514</v>
      </c>
      <c r="C13" s="25" t="s">
        <v>515</v>
      </c>
      <c r="D13" s="25" t="s">
        <v>516</v>
      </c>
      <c r="E13" s="25" t="s">
        <v>517</v>
      </c>
      <c r="F13" s="25" t="s">
        <v>452</v>
      </c>
      <c r="G13" s="25" t="s">
        <v>451</v>
      </c>
      <c r="H13" s="25" t="s">
        <v>518</v>
      </c>
      <c r="I13" s="24" t="s">
        <v>456</v>
      </c>
    </row>
    <row r="14">
      <c r="A14" s="24">
        <v>11.0</v>
      </c>
      <c r="B14" s="25" t="s">
        <v>207</v>
      </c>
      <c r="C14" s="25" t="s">
        <v>519</v>
      </c>
      <c r="D14" s="25" t="s">
        <v>520</v>
      </c>
      <c r="E14" s="25" t="s">
        <v>521</v>
      </c>
      <c r="F14" s="25" t="s">
        <v>447</v>
      </c>
      <c r="G14" s="25" t="s">
        <v>405</v>
      </c>
      <c r="H14" s="25" t="s">
        <v>522</v>
      </c>
      <c r="I14" s="24" t="s">
        <v>457</v>
      </c>
    </row>
    <row r="15">
      <c r="A15" s="24">
        <v>12.0</v>
      </c>
      <c r="B15" s="25" t="s">
        <v>286</v>
      </c>
      <c r="C15" s="25" t="s">
        <v>523</v>
      </c>
      <c r="D15" s="25" t="s">
        <v>524</v>
      </c>
      <c r="E15" s="25" t="s">
        <v>525</v>
      </c>
      <c r="F15" s="25" t="s">
        <v>385</v>
      </c>
      <c r="G15" s="25" t="s">
        <v>526</v>
      </c>
      <c r="H15" s="25" t="s">
        <v>231</v>
      </c>
      <c r="I15" s="24" t="s">
        <v>458</v>
      </c>
    </row>
    <row r="16">
      <c r="A16" s="24">
        <v>13.0</v>
      </c>
      <c r="B16" s="25" t="s">
        <v>289</v>
      </c>
      <c r="C16" s="25" t="s">
        <v>527</v>
      </c>
      <c r="D16" s="25" t="s">
        <v>528</v>
      </c>
      <c r="E16" s="25" t="s">
        <v>529</v>
      </c>
      <c r="F16" s="25" t="s">
        <v>47</v>
      </c>
      <c r="G16" s="25" t="s">
        <v>47</v>
      </c>
      <c r="H16" s="25" t="s">
        <v>243</v>
      </c>
      <c r="I16" s="24" t="s">
        <v>459</v>
      </c>
    </row>
    <row r="17">
      <c r="A17" s="24">
        <v>14.0</v>
      </c>
      <c r="B17" s="25" t="s">
        <v>530</v>
      </c>
      <c r="C17" s="25" t="s">
        <v>531</v>
      </c>
      <c r="D17" s="25" t="s">
        <v>532</v>
      </c>
      <c r="E17" s="25" t="s">
        <v>533</v>
      </c>
      <c r="F17" s="25" t="s">
        <v>452</v>
      </c>
      <c r="G17" s="25" t="s">
        <v>451</v>
      </c>
      <c r="H17" s="25" t="s">
        <v>534</v>
      </c>
      <c r="I17" s="24" t="s">
        <v>535</v>
      </c>
    </row>
  </sheetData>
  <mergeCells count="2">
    <mergeCell ref="A1:I1"/>
    <mergeCell ref="A2:I2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31.29"/>
    <col customWidth="1" min="3" max="3" width="33.43"/>
    <col customWidth="1" min="4" max="4" width="57.57"/>
  </cols>
  <sheetData>
    <row r="1">
      <c r="A1" s="20" t="s">
        <v>536</v>
      </c>
      <c r="B1" s="2"/>
      <c r="C1" s="2"/>
      <c r="D1" s="4"/>
    </row>
    <row r="2">
      <c r="A2" s="22" t="s">
        <v>537</v>
      </c>
    </row>
    <row r="3">
      <c r="A3" s="23" t="s">
        <v>6</v>
      </c>
      <c r="B3" s="23" t="s">
        <v>538</v>
      </c>
      <c r="C3" s="23" t="s">
        <v>24</v>
      </c>
      <c r="D3" s="23" t="s">
        <v>539</v>
      </c>
    </row>
    <row r="4">
      <c r="A4" s="24">
        <v>1.0</v>
      </c>
      <c r="B4" s="25" t="s">
        <v>540</v>
      </c>
      <c r="C4" s="25" t="s">
        <v>541</v>
      </c>
      <c r="D4" s="25" t="s">
        <v>542</v>
      </c>
    </row>
    <row r="5">
      <c r="A5" s="24">
        <v>2.0</v>
      </c>
      <c r="B5" s="25" t="s">
        <v>543</v>
      </c>
      <c r="C5" s="25" t="s">
        <v>544</v>
      </c>
      <c r="D5" s="25" t="s">
        <v>545</v>
      </c>
    </row>
    <row r="6">
      <c r="A6" s="24">
        <v>3.0</v>
      </c>
      <c r="B6" s="25" t="s">
        <v>546</v>
      </c>
      <c r="C6" s="25" t="s">
        <v>547</v>
      </c>
      <c r="D6" s="25" t="s">
        <v>548</v>
      </c>
    </row>
    <row r="7">
      <c r="A7" s="24">
        <v>4.0</v>
      </c>
      <c r="B7" s="25" t="s">
        <v>549</v>
      </c>
      <c r="C7" s="25" t="s">
        <v>550</v>
      </c>
      <c r="D7" s="25" t="s">
        <v>551</v>
      </c>
    </row>
    <row r="8">
      <c r="A8" s="24">
        <v>5.0</v>
      </c>
      <c r="B8" s="25" t="s">
        <v>552</v>
      </c>
      <c r="C8" s="25" t="s">
        <v>550</v>
      </c>
      <c r="D8" s="25" t="s">
        <v>553</v>
      </c>
    </row>
    <row r="9">
      <c r="A9" s="24">
        <v>6.0</v>
      </c>
      <c r="B9" s="25" t="s">
        <v>554</v>
      </c>
      <c r="C9" s="25" t="s">
        <v>550</v>
      </c>
      <c r="D9" s="25" t="s">
        <v>555</v>
      </c>
    </row>
    <row r="10">
      <c r="A10" s="24">
        <v>7.0</v>
      </c>
      <c r="B10" s="25" t="s">
        <v>556</v>
      </c>
      <c r="C10" s="25" t="s">
        <v>550</v>
      </c>
      <c r="D10" s="25" t="s">
        <v>557</v>
      </c>
    </row>
    <row r="11">
      <c r="A11" s="24">
        <v>8.0</v>
      </c>
      <c r="B11" s="25" t="s">
        <v>558</v>
      </c>
      <c r="C11" s="25" t="s">
        <v>550</v>
      </c>
      <c r="D11" s="25" t="s">
        <v>559</v>
      </c>
    </row>
    <row r="12">
      <c r="B12" s="12" t="s">
        <v>560</v>
      </c>
      <c r="D12" s="12" t="s">
        <v>561</v>
      </c>
    </row>
  </sheetData>
  <mergeCells count="2">
    <mergeCell ref="A1:D1"/>
    <mergeCell ref="A2:D2"/>
  </mergeCells>
  <drawing r:id="rId1"/>
</worksheet>
</file>